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chấm công" sheetId="1" r:id="rId4"/>
  </sheets>
  <definedNames>
    <definedName localSheetId="0" name="Thang">'Bảng chấm công'!$AQ$2</definedName>
    <definedName hidden="1" localSheetId="0" name="_xlnm._FilterDatabase">'Bảng chấm công'!$A$30:$DM$31</definedName>
  </definedNames>
  <calcPr/>
</workbook>
</file>

<file path=xl/sharedStrings.xml><?xml version="1.0" encoding="utf-8"?>
<sst xmlns="http://schemas.openxmlformats.org/spreadsheetml/2006/main" count="152" uniqueCount="91">
  <si>
    <t>Tháng</t>
  </si>
  <si>
    <t>Ghi chú:</t>
  </si>
  <si>
    <t>Ngày làm việc</t>
  </si>
  <si>
    <t>X</t>
  </si>
  <si>
    <t>Ngày nghỉ lễ</t>
  </si>
  <si>
    <t>L</t>
  </si>
  <si>
    <t>CN, T7 nghỉ</t>
  </si>
  <si>
    <t>T7</t>
  </si>
  <si>
    <t>Ngày nghỉ phép</t>
  </si>
  <si>
    <t>P</t>
  </si>
  <si>
    <t>Làm 1 buổi</t>
  </si>
  <si>
    <t xml:space="preserve"> /</t>
  </si>
  <si>
    <t>B</t>
  </si>
  <si>
    <t>Làm bù</t>
  </si>
  <si>
    <t>OT</t>
  </si>
  <si>
    <t>(Write how many hour it takes)</t>
  </si>
  <si>
    <t xml:space="preserve">CÔNG TY TNHH TƯ VẤN CÔNG TRÌNH XANH GREENVIET
</t>
  </si>
  <si>
    <t>Địa chỉ: Số 19, Đường 46, Phường Thảo Điền, TP Thủ Đức, TP.HCM</t>
  </si>
  <si>
    <t>SĐT: 028 3511 9096</t>
  </si>
  <si>
    <t>BẢNG LƯƠNG</t>
  </si>
  <si>
    <t>BẢNG CHẤM CÔNG TRONG GIỜ</t>
  </si>
  <si>
    <t>BẢNG CHẤM CÔNG NGOÀI GIỜ - TĂNG CA</t>
  </si>
  <si>
    <t xml:space="preserve">Số </t>
  </si>
  <si>
    <t xml:space="preserve">Chức </t>
  </si>
  <si>
    <t>Lương Chính Thức theo thỏa thuận</t>
  </si>
  <si>
    <t>TỔNG THU NHẬP NGƯỜI LAO ĐỘNG</t>
  </si>
  <si>
    <t>TỔNG THU NHẬP KHÔNG CHỊU THUẾ TNCN</t>
  </si>
  <si>
    <t>Khấu trừ thuế TNCN NLĐ</t>
  </si>
  <si>
    <t>Lương thực nhận</t>
  </si>
  <si>
    <t>CHI PHÍ DOANH NGHIỆP</t>
  </si>
  <si>
    <t>Ngày 
thường</t>
  </si>
  <si>
    <t>Ngày 
nghỉ</t>
  </si>
  <si>
    <t>TỔNG</t>
  </si>
  <si>
    <t>Ngày 
lễ</t>
  </si>
  <si>
    <t>Tổng</t>
  </si>
  <si>
    <t>Tăng Ca Ngoài giờ</t>
  </si>
  <si>
    <t>T</t>
  </si>
  <si>
    <t xml:space="preserve">Họ và tên </t>
  </si>
  <si>
    <t xml:space="preserve">vụ </t>
  </si>
  <si>
    <t>Lương tháng hiện tại (Full)</t>
  </si>
  <si>
    <t>Lương chi tiết (theo thời gian làm việc)</t>
  </si>
  <si>
    <t>Lương OT</t>
  </si>
  <si>
    <t>Các khoản điều chỉnh giảm - / tăng +</t>
  </si>
  <si>
    <t>Thưởng đột xuất/ Lễ/ tết</t>
  </si>
  <si>
    <t>PHỤ CẤP THEO QUY CHẾ CÔNG TY</t>
  </si>
  <si>
    <t>Tổng Thu nhập</t>
  </si>
  <si>
    <t>Người phụ thuộc</t>
  </si>
  <si>
    <t>Giảm trừ bản thân</t>
  </si>
  <si>
    <t>Ăn/ ĐT/CT/Xăng</t>
  </si>
  <si>
    <t xml:space="preserve">OT </t>
  </si>
  <si>
    <t>BHBB</t>
  </si>
  <si>
    <t>Thu nhập chịu thuế TNCN</t>
  </si>
  <si>
    <t>Thuế TNCN</t>
  </si>
  <si>
    <t>BHBB Thực tế</t>
  </si>
  <si>
    <t>Khấu trừ ĐPCĐ</t>
  </si>
  <si>
    <t>Khác</t>
  </si>
  <si>
    <t>UNC ngày 25/09/2025</t>
  </si>
  <si>
    <t>KPCĐ</t>
  </si>
  <si>
    <t>Ký</t>
  </si>
  <si>
    <t xml:space="preserve">NGÀY </t>
  </si>
  <si>
    <t>NGÀY</t>
  </si>
  <si>
    <t>ngoài</t>
  </si>
  <si>
    <t>Lương cơ bản</t>
  </si>
  <si>
    <t>Hiệu quả công việc</t>
  </si>
  <si>
    <t>Tổng lương</t>
  </si>
  <si>
    <t>Thời gian LV (Ngày)</t>
  </si>
  <si>
    <t>Lương LV</t>
  </si>
  <si>
    <t>Nghỉ phép được hưởng lương</t>
  </si>
  <si>
    <t>Ngày</t>
  </si>
  <si>
    <t>Lương</t>
  </si>
  <si>
    <t>Ăn trưa</t>
  </si>
  <si>
    <t>Điện  Thoại / xăng</t>
  </si>
  <si>
    <t>Đi công trình</t>
  </si>
  <si>
    <t>Số NPT</t>
  </si>
  <si>
    <t>Giảm trừ</t>
  </si>
  <si>
    <t>32%/21.0%</t>
  </si>
  <si>
    <t>nhận</t>
  </si>
  <si>
    <t>CÔNG</t>
  </si>
  <si>
    <t xml:space="preserve"> CÔNG CHUẨN</t>
  </si>
  <si>
    <t xml:space="preserve"> giờ</t>
  </si>
  <si>
    <t>A</t>
  </si>
  <si>
    <t>C</t>
  </si>
  <si>
    <t>(ngày)</t>
  </si>
  <si>
    <t>(Giờ)</t>
  </si>
  <si>
    <t>Tổng Lương</t>
  </si>
  <si>
    <t>Lương/Ngày</t>
  </si>
  <si>
    <t>BOD01</t>
  </si>
  <si>
    <t>Nguyễn Thị Hương Thu</t>
  </si>
  <si>
    <t>GĐ</t>
  </si>
  <si>
    <t>Chuyển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</si>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</sst>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(* #,##0_);_(* \(#,##0\);_(* &quot;-&quot;??_);_(@_)"/>
    <numFmt numFmtId="165" formatCode="_(* #,##0.0_);_(* \(#,##0.0\);_(* &quot;-&quot;??_);_(@_)"/>
    <numFmt numFmtId="166" formatCode="_(* #,##0.00_);_(* \(#,##0.00\);_(* &quot;-&quot;??_);_(@_)"/>
    <numFmt numFmtId="167" formatCode="&quot;In Ngày &quot;\ dd\ &quot;tháng&quot;\ mm\ &quot;năm&quot;\ yyyy"/>
    <numFmt numFmtId="168" formatCode="&quot;Tháng&quot;\ ##"/>
    <numFmt numFmtId="169" formatCode="&quot;Tháng &quot;0#"/>
    <numFmt numFmtId="170" formatCode="0.0%"/>
    <numFmt numFmtId="171" formatCode="dd"/>
  </numFmts>
  <fonts count="21">
    <font>
      <sz val="10.0"/>
      <color rgb="FF000000"/>
      <name val="Arial"/>
      <scheme val="minor"/>
    </font>
    <font>
      <sz val="8.0"/>
      <color theme="1"/>
      <name val="Arial"/>
    </font>
    <font>
      <sz val="9.0"/>
      <color theme="1"/>
      <name val="Arial"/>
    </font>
    <font>
      <b/>
      <i/>
      <u/>
      <sz val="9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Arial"/>
    </font>
    <font>
      <sz val="12.0"/>
      <color theme="1"/>
      <name val="Arial"/>
    </font>
    <font>
      <b/>
      <sz val="10.0"/>
      <color theme="1"/>
      <name val="Arial"/>
    </font>
    <font>
      <b/>
      <sz val="8.0"/>
      <color theme="1"/>
      <name val="Arial"/>
    </font>
    <font>
      <b/>
      <sz val="24.0"/>
      <color theme="1"/>
      <name val="Arial"/>
    </font>
    <font>
      <b/>
      <sz val="18.0"/>
      <color theme="1"/>
      <name val="Arial"/>
    </font>
    <font>
      <b/>
      <sz val="11.0"/>
      <color theme="1"/>
      <name val="Arial"/>
    </font>
    <font>
      <sz val="8.0"/>
      <color rgb="FFFF0000"/>
      <name val="Arial"/>
    </font>
    <font>
      <b/>
      <sz val="9.0"/>
      <color theme="1"/>
      <name val="Arial"/>
    </font>
    <font/>
    <font>
      <b/>
      <sz val="9.0"/>
      <color rgb="FFFF0000"/>
      <name val="Arial"/>
    </font>
    <font>
      <sz val="9.0"/>
      <color rgb="FFFF0000"/>
      <name val="Arial"/>
    </font>
    <font>
      <i/>
      <sz val="9.0"/>
      <color theme="1"/>
      <name val="Arial"/>
    </font>
    <font>
      <sz val="11.0"/>
      <color theme="1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D99594"/>
        <bgColor rgb="FFD99594"/>
      </patternFill>
    </fill>
    <fill>
      <patternFill patternType="solid">
        <fgColor rgb="FF00CC99"/>
        <bgColor rgb="FF00CC99"/>
      </patternFill>
    </fill>
    <fill>
      <patternFill patternType="solid">
        <fgColor rgb="FFFFFF00"/>
        <bgColor rgb="FFFFFF00"/>
      </patternFill>
    </fill>
    <fill>
      <patternFill patternType="solid">
        <fgColor rgb="FFF2DBDB"/>
        <bgColor rgb="FFF2DBDB"/>
      </patternFill>
    </fill>
    <fill>
      <patternFill patternType="solid">
        <fgColor rgb="FFFFFF66"/>
        <bgColor rgb="FFFFFF66"/>
      </patternFill>
    </fill>
    <fill>
      <patternFill patternType="solid">
        <fgColor rgb="FFC1F2F7"/>
        <bgColor rgb="FFC1F2F7"/>
      </patternFill>
    </fill>
  </fills>
  <borders count="72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/>
    </border>
    <border>
      <left/>
      <right style="thin">
        <color rgb="FF000000"/>
      </right>
      <top style="double">
        <color rgb="FF000000"/>
      </top>
      <bottom/>
    </border>
    <border>
      <left style="thin">
        <color rgb="FF000000"/>
      </left>
      <top style="double">
        <color rgb="FF000000"/>
      </top>
      <bottom/>
    </border>
    <border>
      <top style="double">
        <color rgb="FF000000"/>
      </top>
      <bottom/>
    </border>
    <border>
      <right style="thin">
        <color rgb="FF000000"/>
      </right>
      <top style="double">
        <color rgb="FF000000"/>
      </top>
      <bottom/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/>
    </border>
    <border>
      <left style="thin">
        <color rgb="FF000000"/>
      </lef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double">
        <color rgb="FF000000"/>
      </right>
      <top/>
      <bottom/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/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/>
      <bottom style="double">
        <color rgb="FF000000"/>
      </bottom>
    </border>
    <border>
      <left style="double">
        <color rgb="FF000000"/>
      </left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/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vertical="center"/>
    </xf>
    <xf borderId="1" fillId="3" fontId="1" numFmtId="164" xfId="0" applyAlignment="1" applyBorder="1" applyFont="1" applyNumberFormat="1">
      <alignment vertical="center"/>
    </xf>
    <xf borderId="1" fillId="3" fontId="1" numFmtId="165" xfId="0" applyAlignment="1" applyBorder="1" applyFont="1" applyNumberFormat="1">
      <alignment vertical="center"/>
    </xf>
    <xf borderId="1" fillId="3" fontId="1" numFmtId="166" xfId="0" applyAlignment="1" applyBorder="1" applyFont="1" applyNumberFormat="1">
      <alignment vertical="center"/>
    </xf>
    <xf borderId="1" fillId="3" fontId="2" numFmtId="0" xfId="0" applyAlignment="1" applyBorder="1" applyFont="1">
      <alignment horizontal="center" vertical="center"/>
    </xf>
    <xf borderId="1" fillId="3" fontId="1" numFmtId="164" xfId="0" applyAlignment="1" applyBorder="1" applyFont="1" applyNumberFormat="1">
      <alignment horizontal="center" vertical="center"/>
    </xf>
    <xf borderId="1" fillId="3" fontId="1" numFmtId="165" xfId="0" applyAlignment="1" applyBorder="1" applyFont="1" applyNumberFormat="1">
      <alignment horizontal="center" vertical="center"/>
    </xf>
    <xf borderId="1" fillId="3" fontId="1" numFmtId="166" xfId="0" applyAlignment="1" applyBorder="1" applyFont="1" applyNumberFormat="1">
      <alignment horizontal="center" vertical="center"/>
    </xf>
    <xf borderId="0" fillId="0" fontId="3" numFmtId="167" xfId="0" applyAlignment="1" applyFont="1" applyNumberFormat="1">
      <alignment vertical="center"/>
    </xf>
    <xf borderId="0" fillId="0" fontId="2" numFmtId="0" xfId="0" applyAlignment="1" applyFont="1">
      <alignment vertical="center"/>
    </xf>
    <xf borderId="1" fillId="4" fontId="1" numFmtId="168" xfId="0" applyAlignment="1" applyBorder="1" applyFill="1" applyFont="1" applyNumberFormat="1">
      <alignment horizontal="center" vertical="center"/>
    </xf>
    <xf borderId="2" fillId="0" fontId="4" numFmtId="0" xfId="0" applyAlignment="1" applyBorder="1" applyFont="1">
      <alignment vertical="center"/>
    </xf>
    <xf borderId="2" fillId="0" fontId="4" numFmtId="0" xfId="0" applyAlignment="1" applyBorder="1" applyFont="1">
      <alignment horizontal="center" vertical="center"/>
    </xf>
    <xf borderId="1" fillId="5" fontId="5" numFmtId="0" xfId="0" applyAlignment="1" applyBorder="1" applyFill="1" applyFont="1">
      <alignment vertical="center"/>
    </xf>
    <xf borderId="0" fillId="0" fontId="5" numFmtId="0" xfId="0" applyAlignment="1" applyFont="1">
      <alignment vertical="center"/>
    </xf>
    <xf borderId="0" fillId="0" fontId="6" numFmtId="169" xfId="0" applyAlignment="1" applyFont="1" applyNumberFormat="1">
      <alignment horizontal="center" vertical="center"/>
    </xf>
    <xf borderId="3" fillId="0" fontId="4" numFmtId="0" xfId="0" applyAlignment="1" applyBorder="1" applyFont="1">
      <alignment vertical="center"/>
    </xf>
    <xf borderId="2" fillId="0" fontId="4" numFmtId="0" xfId="0" applyAlignment="1" applyBorder="1" applyFont="1">
      <alignment horizontal="left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1" fillId="2" fontId="7" numFmtId="0" xfId="0" applyAlignment="1" applyBorder="1" applyFont="1">
      <alignment vertical="center"/>
    </xf>
    <xf borderId="1" fillId="3" fontId="7" numFmtId="0" xfId="0" applyAlignment="1" applyBorder="1" applyFont="1">
      <alignment horizontal="center" vertical="center"/>
    </xf>
    <xf borderId="1" fillId="3" fontId="7" numFmtId="0" xfId="0" applyAlignment="1" applyBorder="1" applyFont="1">
      <alignment vertical="center"/>
    </xf>
    <xf borderId="1" fillId="3" fontId="7" numFmtId="164" xfId="0" applyAlignment="1" applyBorder="1" applyFont="1" applyNumberFormat="1">
      <alignment vertical="center"/>
    </xf>
    <xf borderId="1" fillId="3" fontId="7" numFmtId="165" xfId="0" applyAlignment="1" applyBorder="1" applyFont="1" applyNumberFormat="1">
      <alignment vertical="center"/>
    </xf>
    <xf borderId="1" fillId="3" fontId="7" numFmtId="166" xfId="0" applyAlignment="1" applyBorder="1" applyFont="1" applyNumberFormat="1">
      <alignment vertical="center"/>
    </xf>
    <xf borderId="1" fillId="3" fontId="7" numFmtId="164" xfId="0" applyAlignment="1" applyBorder="1" applyFont="1" applyNumberFormat="1">
      <alignment horizontal="center" vertical="center"/>
    </xf>
    <xf borderId="1" fillId="3" fontId="7" numFmtId="165" xfId="0" applyAlignment="1" applyBorder="1" applyFont="1" applyNumberFormat="1">
      <alignment horizontal="center" vertical="center"/>
    </xf>
    <xf borderId="1" fillId="3" fontId="7" numFmtId="166" xfId="0" applyAlignment="1" applyBorder="1" applyFont="1" applyNumberFormat="1">
      <alignment horizontal="center" vertical="center"/>
    </xf>
    <xf borderId="0" fillId="0" fontId="8" numFmtId="0" xfId="0" applyAlignment="1" applyFont="1">
      <alignment vertical="center"/>
    </xf>
    <xf borderId="1" fillId="3" fontId="8" numFmtId="0" xfId="0" applyAlignment="1" applyBorder="1" applyFont="1">
      <alignment horizontal="center" vertical="center"/>
    </xf>
    <xf borderId="1" fillId="3" fontId="8" numFmtId="0" xfId="0" applyAlignment="1" applyBorder="1" applyFont="1">
      <alignment vertical="center"/>
    </xf>
    <xf borderId="1" fillId="3" fontId="8" numFmtId="164" xfId="0" applyAlignment="1" applyBorder="1" applyFont="1" applyNumberFormat="1">
      <alignment vertical="center"/>
    </xf>
    <xf borderId="1" fillId="3" fontId="8" numFmtId="165" xfId="0" applyAlignment="1" applyBorder="1" applyFont="1" applyNumberFormat="1">
      <alignment vertical="center"/>
    </xf>
    <xf borderId="1" fillId="3" fontId="8" numFmtId="166" xfId="0" applyAlignment="1" applyBorder="1" applyFont="1" applyNumberFormat="1">
      <alignment vertical="center"/>
    </xf>
    <xf borderId="1" fillId="3" fontId="8" numFmtId="164" xfId="0" applyAlignment="1" applyBorder="1" applyFont="1" applyNumberFormat="1">
      <alignment horizontal="center" vertical="center"/>
    </xf>
    <xf borderId="1" fillId="3" fontId="8" numFmtId="165" xfId="0" applyAlignment="1" applyBorder="1" applyFont="1" applyNumberFormat="1">
      <alignment horizontal="center" vertical="center"/>
    </xf>
    <xf borderId="1" fillId="3" fontId="8" numFmtId="166" xfId="0" applyAlignment="1" applyBorder="1" applyFont="1" applyNumberFormat="1">
      <alignment horizontal="center" vertical="center"/>
    </xf>
    <xf borderId="1" fillId="3" fontId="9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left" vertical="center"/>
    </xf>
    <xf borderId="2" fillId="6" fontId="6" numFmtId="168" xfId="0" applyAlignment="1" applyBorder="1" applyFill="1" applyFont="1" applyNumberFormat="1">
      <alignment horizontal="center" vertical="center"/>
    </xf>
    <xf borderId="1" fillId="2" fontId="8" numFmtId="0" xfId="0" applyAlignment="1" applyBorder="1" applyFont="1">
      <alignment vertical="center"/>
    </xf>
    <xf borderId="1" fillId="2" fontId="9" numFmtId="0" xfId="0" applyAlignment="1" applyBorder="1" applyFont="1">
      <alignment vertical="center"/>
    </xf>
    <xf borderId="1" fillId="3" fontId="9" numFmtId="0" xfId="0" applyAlignment="1" applyBorder="1" applyFont="1">
      <alignment horizontal="center" vertical="center"/>
    </xf>
    <xf borderId="1" fillId="3" fontId="9" numFmtId="0" xfId="0" applyAlignment="1" applyBorder="1" applyFont="1">
      <alignment vertical="center"/>
    </xf>
    <xf borderId="1" fillId="3" fontId="9" numFmtId="164" xfId="0" applyAlignment="1" applyBorder="1" applyFont="1" applyNumberFormat="1">
      <alignment vertical="center"/>
    </xf>
    <xf borderId="1" fillId="3" fontId="10" numFmtId="164" xfId="0" applyAlignment="1" applyBorder="1" applyFont="1" applyNumberFormat="1">
      <alignment horizontal="center" vertical="center"/>
    </xf>
    <xf borderId="1" fillId="3" fontId="9" numFmtId="165" xfId="0" applyAlignment="1" applyBorder="1" applyFont="1" applyNumberFormat="1">
      <alignment horizontal="center" vertical="center"/>
    </xf>
    <xf borderId="1" fillId="3" fontId="10" numFmtId="166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center" vertical="center"/>
    </xf>
    <xf borderId="4" fillId="3" fontId="11" numFmtId="0" xfId="0" applyAlignment="1" applyBorder="1" applyFont="1">
      <alignment horizontal="center" vertical="center"/>
    </xf>
    <xf borderId="1" fillId="3" fontId="11" numFmtId="0" xfId="0" applyAlignment="1" applyBorder="1" applyFont="1">
      <alignment horizontal="center" vertical="center"/>
    </xf>
    <xf borderId="1" fillId="2" fontId="11" numFmtId="0" xfId="0" applyAlignment="1" applyBorder="1" applyFont="1">
      <alignment vertical="center"/>
    </xf>
    <xf borderId="1" fillId="3" fontId="11" numFmtId="0" xfId="0" applyAlignment="1" applyBorder="1" applyFont="1">
      <alignment vertical="center"/>
    </xf>
    <xf borderId="1" fillId="2" fontId="12" numFmtId="0" xfId="0" applyAlignment="1" applyBorder="1" applyFont="1">
      <alignment vertical="center"/>
    </xf>
    <xf borderId="1" fillId="3" fontId="12" numFmtId="0" xfId="0" applyAlignment="1" applyBorder="1" applyFont="1">
      <alignment vertical="center"/>
    </xf>
    <xf borderId="1" fillId="3" fontId="12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0" fillId="0" fontId="12" numFmtId="0" xfId="0" applyAlignment="1" applyFont="1">
      <alignment vertical="center"/>
    </xf>
    <xf borderId="1" fillId="3" fontId="12" numFmtId="164" xfId="0" applyAlignment="1" applyBorder="1" applyFont="1" applyNumberFormat="1">
      <alignment vertical="center"/>
    </xf>
    <xf borderId="0" fillId="0" fontId="5" numFmtId="0" xfId="0" applyAlignment="1" applyFont="1">
      <alignment horizontal="center" vertical="center"/>
    </xf>
    <xf borderId="1" fillId="3" fontId="13" numFmtId="0" xfId="0" applyAlignment="1" applyBorder="1" applyFont="1">
      <alignment vertical="center"/>
    </xf>
    <xf borderId="1" fillId="3" fontId="13" numFmtId="0" xfId="0" applyAlignment="1" applyBorder="1" applyFont="1">
      <alignment horizontal="left" vertical="center"/>
    </xf>
    <xf borderId="1" fillId="3" fontId="12" numFmtId="165" xfId="0" applyAlignment="1" applyBorder="1" applyFont="1" applyNumberFormat="1">
      <alignment horizontal="center" vertical="center"/>
    </xf>
    <xf borderId="1" fillId="3" fontId="12" numFmtId="164" xfId="0" applyAlignment="1" applyBorder="1" applyFont="1" applyNumberFormat="1">
      <alignment horizontal="center" vertical="center"/>
    </xf>
    <xf borderId="1" fillId="7" fontId="14" numFmtId="0" xfId="0" applyAlignment="1" applyBorder="1" applyFill="1" applyFont="1">
      <alignment vertical="center"/>
    </xf>
    <xf borderId="1" fillId="7" fontId="14" numFmtId="164" xfId="0" applyAlignment="1" applyBorder="1" applyFont="1" applyNumberFormat="1">
      <alignment vertical="center"/>
    </xf>
    <xf borderId="1" fillId="7" fontId="1" numFmtId="164" xfId="0" applyAlignment="1" applyBorder="1" applyFont="1" applyNumberFormat="1">
      <alignment vertical="center"/>
    </xf>
    <xf borderId="6" fillId="3" fontId="15" numFmtId="0" xfId="0" applyAlignment="1" applyBorder="1" applyFont="1">
      <alignment horizontal="center" vertical="center"/>
    </xf>
    <xf borderId="7" fillId="3" fontId="15" numFmtId="0" xfId="0" applyAlignment="1" applyBorder="1" applyFont="1">
      <alignment horizontal="center" vertical="center"/>
    </xf>
    <xf borderId="8" fillId="3" fontId="15" numFmtId="0" xfId="0" applyAlignment="1" applyBorder="1" applyFont="1">
      <alignment horizontal="center" shrinkToFit="0" vertical="center" wrapText="1"/>
    </xf>
    <xf borderId="9" fillId="3" fontId="15" numFmtId="164" xfId="0" applyAlignment="1" applyBorder="1" applyFont="1" applyNumberFormat="1">
      <alignment horizontal="center" vertical="center"/>
    </xf>
    <xf borderId="10" fillId="3" fontId="15" numFmtId="164" xfId="0" applyAlignment="1" applyBorder="1" applyFont="1" applyNumberFormat="1">
      <alignment horizontal="center" vertical="center"/>
    </xf>
    <xf borderId="11" fillId="3" fontId="15" numFmtId="164" xfId="0" applyAlignment="1" applyBorder="1" applyFont="1" applyNumberFormat="1">
      <alignment horizontal="center" vertical="center"/>
    </xf>
    <xf borderId="12" fillId="8" fontId="15" numFmtId="164" xfId="0" applyAlignment="1" applyBorder="1" applyFill="1" applyFont="1" applyNumberFormat="1">
      <alignment horizontal="center" vertical="center"/>
    </xf>
    <xf borderId="13" fillId="0" fontId="16" numFmtId="0" xfId="0" applyBorder="1" applyFont="1"/>
    <xf borderId="14" fillId="0" fontId="16" numFmtId="0" xfId="0" applyBorder="1" applyFont="1"/>
    <xf borderId="15" fillId="9" fontId="15" numFmtId="164" xfId="0" applyAlignment="1" applyBorder="1" applyFill="1" applyFont="1" applyNumberFormat="1">
      <alignment horizontal="center" vertical="center"/>
    </xf>
    <xf borderId="16" fillId="0" fontId="16" numFmtId="0" xfId="0" applyBorder="1" applyFont="1"/>
    <xf borderId="17" fillId="0" fontId="16" numFmtId="0" xfId="0" applyBorder="1" applyFont="1"/>
    <xf borderId="15" fillId="6" fontId="15" numFmtId="164" xfId="0" applyAlignment="1" applyBorder="1" applyFont="1" applyNumberFormat="1">
      <alignment horizontal="center" shrinkToFit="0" vertical="center" wrapText="1"/>
    </xf>
    <xf borderId="15" fillId="10" fontId="15" numFmtId="164" xfId="0" applyAlignment="1" applyBorder="1" applyFill="1" applyFont="1" applyNumberFormat="1">
      <alignment horizontal="center" shrinkToFit="0" vertical="center" wrapText="1"/>
    </xf>
    <xf borderId="15" fillId="3" fontId="9" numFmtId="164" xfId="0" applyAlignment="1" applyBorder="1" applyFont="1" applyNumberFormat="1">
      <alignment horizontal="center" vertical="center"/>
    </xf>
    <xf borderId="18" fillId="3" fontId="15" numFmtId="0" xfId="0" applyAlignment="1" applyBorder="1" applyFont="1">
      <alignment horizontal="center" vertical="center"/>
    </xf>
    <xf borderId="8" fillId="0" fontId="15" numFmtId="0" xfId="0" applyAlignment="1" applyBorder="1" applyFont="1">
      <alignment horizontal="center" vertical="center"/>
    </xf>
    <xf borderId="19" fillId="0" fontId="15" numFmtId="0" xfId="0" applyAlignment="1" applyBorder="1" applyFont="1">
      <alignment horizontal="center" vertical="center"/>
    </xf>
    <xf borderId="8" fillId="0" fontId="15" numFmtId="164" xfId="0" applyAlignment="1" applyBorder="1" applyFont="1" applyNumberFormat="1">
      <alignment horizontal="center" shrinkToFit="0" vertical="center" wrapText="1"/>
    </xf>
    <xf borderId="8" fillId="0" fontId="15" numFmtId="166" xfId="0" applyAlignment="1" applyBorder="1" applyFont="1" applyNumberFormat="1">
      <alignment horizontal="center" shrinkToFit="0" vertical="center" wrapText="1"/>
    </xf>
    <xf borderId="20" fillId="0" fontId="15" numFmtId="164" xfId="0" applyAlignment="1" applyBorder="1" applyFont="1" applyNumberFormat="1">
      <alignment horizontal="center" vertical="center"/>
    </xf>
    <xf borderId="21" fillId="0" fontId="15" numFmtId="164" xfId="0" applyAlignment="1" applyBorder="1" applyFont="1" applyNumberFormat="1">
      <alignment vertical="center"/>
    </xf>
    <xf borderId="22" fillId="0" fontId="15" numFmtId="0" xfId="0" applyAlignment="1" applyBorder="1" applyFont="1">
      <alignment horizontal="center" vertical="center"/>
    </xf>
    <xf borderId="8" fillId="0" fontId="15" numFmtId="165" xfId="0" applyAlignment="1" applyBorder="1" applyFont="1" applyNumberFormat="1">
      <alignment horizontal="center" shrinkToFit="0" vertical="center" wrapText="1"/>
    </xf>
    <xf borderId="8" fillId="3" fontId="15" numFmtId="166" xfId="0" applyAlignment="1" applyBorder="1" applyFont="1" applyNumberFormat="1">
      <alignment horizontal="center" shrinkToFit="0" vertical="center" wrapText="1"/>
    </xf>
    <xf borderId="20" fillId="0" fontId="15" numFmtId="165" xfId="0" applyAlignment="1" applyBorder="1" applyFont="1" applyNumberFormat="1">
      <alignment horizontal="center" vertical="center"/>
    </xf>
    <xf borderId="23" fillId="0" fontId="15" numFmtId="164" xfId="0" applyAlignment="1" applyBorder="1" applyFont="1" applyNumberFormat="1">
      <alignment horizontal="center" vertical="center"/>
    </xf>
    <xf borderId="24" fillId="0" fontId="16" numFmtId="0" xfId="0" applyBorder="1" applyFont="1"/>
    <xf borderId="1" fillId="3" fontId="15" numFmtId="0" xfId="0" applyAlignment="1" applyBorder="1" applyFont="1">
      <alignment horizontal="center" vertical="center"/>
    </xf>
    <xf borderId="25" fillId="3" fontId="15" numFmtId="0" xfId="0" applyAlignment="1" applyBorder="1" applyFont="1">
      <alignment horizontal="center" vertical="center"/>
    </xf>
    <xf borderId="26" fillId="3" fontId="15" numFmtId="0" xfId="0" applyAlignment="1" applyBorder="1" applyFont="1">
      <alignment horizontal="center" vertical="center"/>
    </xf>
    <xf borderId="27" fillId="0" fontId="16" numFmtId="0" xfId="0" applyBorder="1" applyFont="1"/>
    <xf borderId="3" fillId="3" fontId="15" numFmtId="164" xfId="0" applyAlignment="1" applyBorder="1" applyFont="1" applyNumberFormat="1">
      <alignment horizontal="center" vertical="center"/>
    </xf>
    <xf borderId="28" fillId="0" fontId="16" numFmtId="0" xfId="0" applyBorder="1" applyFont="1"/>
    <xf borderId="29" fillId="0" fontId="16" numFmtId="0" xfId="0" applyBorder="1" applyFont="1"/>
    <xf borderId="3" fillId="8" fontId="15" numFmtId="165" xfId="0" applyAlignment="1" applyBorder="1" applyFont="1" applyNumberFormat="1">
      <alignment horizontal="center" shrinkToFit="0" vertical="center" wrapText="1"/>
    </xf>
    <xf borderId="30" fillId="8" fontId="15" numFmtId="164" xfId="0" applyAlignment="1" applyBorder="1" applyFont="1" applyNumberFormat="1">
      <alignment horizontal="center" vertical="center"/>
    </xf>
    <xf borderId="31" fillId="0" fontId="16" numFmtId="0" xfId="0" applyBorder="1" applyFont="1"/>
    <xf borderId="5" fillId="8" fontId="15" numFmtId="164" xfId="0" applyAlignment="1" applyBorder="1" applyFont="1" applyNumberFormat="1">
      <alignment horizontal="center" shrinkToFit="0" vertical="center" wrapText="1"/>
    </xf>
    <xf borderId="3" fillId="8" fontId="15" numFmtId="164" xfId="0" applyAlignment="1" applyBorder="1" applyFont="1" applyNumberFormat="1">
      <alignment horizontal="center" shrinkToFit="0" vertical="center" wrapText="1"/>
    </xf>
    <xf borderId="32" fillId="9" fontId="15" numFmtId="164" xfId="0" applyAlignment="1" applyBorder="1" applyFont="1" applyNumberFormat="1">
      <alignment horizontal="center" vertical="center"/>
    </xf>
    <xf borderId="33" fillId="0" fontId="16" numFmtId="0" xfId="0" applyBorder="1" applyFont="1"/>
    <xf borderId="34" fillId="9" fontId="15" numFmtId="164" xfId="0" applyAlignment="1" applyBorder="1" applyFont="1" applyNumberFormat="1">
      <alignment horizontal="center" shrinkToFit="0" vertical="center" wrapText="1"/>
    </xf>
    <xf borderId="35" fillId="9" fontId="15" numFmtId="164" xfId="0" applyAlignment="1" applyBorder="1" applyFont="1" applyNumberFormat="1">
      <alignment horizontal="center" shrinkToFit="0" vertical="center" wrapText="1"/>
    </xf>
    <xf borderId="36" fillId="9" fontId="15" numFmtId="164" xfId="0" applyAlignment="1" applyBorder="1" applyFont="1" applyNumberFormat="1">
      <alignment horizontal="center" vertical="center"/>
    </xf>
    <xf borderId="34" fillId="6" fontId="15" numFmtId="164" xfId="0" applyAlignment="1" applyBorder="1" applyFont="1" applyNumberFormat="1">
      <alignment horizontal="center" shrinkToFit="0" vertical="center" wrapText="1"/>
    </xf>
    <xf borderId="26" fillId="10" fontId="15" numFmtId="164" xfId="0" applyAlignment="1" applyBorder="1" applyFont="1" applyNumberFormat="1">
      <alignment horizontal="center" shrinkToFit="0" vertical="center" wrapText="1"/>
    </xf>
    <xf borderId="34" fillId="10" fontId="15" numFmtId="164" xfId="0" applyAlignment="1" applyBorder="1" applyFont="1" applyNumberFormat="1">
      <alignment horizontal="center" shrinkToFit="0" vertical="center" wrapText="1"/>
    </xf>
    <xf borderId="5" fillId="10" fontId="15" numFmtId="164" xfId="0" applyAlignment="1" applyBorder="1" applyFont="1" applyNumberFormat="1">
      <alignment horizontal="center" shrinkToFit="0" vertical="center" wrapText="1"/>
    </xf>
    <xf borderId="37" fillId="3" fontId="15" numFmtId="164" xfId="0" applyAlignment="1" applyBorder="1" applyFont="1" applyNumberFormat="1">
      <alignment horizontal="center" vertical="center"/>
    </xf>
    <xf borderId="38" fillId="3" fontId="15" numFmtId="0" xfId="0" applyAlignment="1" applyBorder="1" applyFont="1">
      <alignment horizontal="center" vertical="center"/>
    </xf>
    <xf borderId="39" fillId="3" fontId="15" numFmtId="0" xfId="0" applyAlignment="1" applyBorder="1" applyFont="1">
      <alignment horizontal="center" vertical="center"/>
    </xf>
    <xf borderId="37" fillId="3" fontId="15" numFmtId="0" xfId="0" applyAlignment="1" applyBorder="1" applyFont="1">
      <alignment horizontal="center" vertical="center"/>
    </xf>
    <xf borderId="27" fillId="0" fontId="15" numFmtId="0" xfId="0" applyAlignment="1" applyBorder="1" applyFont="1">
      <alignment horizontal="center" vertical="center"/>
    </xf>
    <xf borderId="40" fillId="0" fontId="15" numFmtId="0" xfId="0" applyAlignment="1" applyBorder="1" applyFont="1">
      <alignment horizontal="center" vertical="center"/>
    </xf>
    <xf borderId="41" fillId="0" fontId="15" numFmtId="164" xfId="0" applyAlignment="1" applyBorder="1" applyFont="1" applyNumberFormat="1">
      <alignment horizontal="center" vertical="center"/>
    </xf>
    <xf borderId="42" fillId="0" fontId="15" numFmtId="164" xfId="0" applyAlignment="1" applyBorder="1" applyFont="1" applyNumberFormat="1">
      <alignment horizontal="center" vertical="center"/>
    </xf>
    <xf borderId="43" fillId="0" fontId="15" numFmtId="0" xfId="0" applyAlignment="1" applyBorder="1" applyFont="1">
      <alignment horizontal="center" vertical="center"/>
    </xf>
    <xf borderId="44" fillId="0" fontId="16" numFmtId="0" xfId="0" applyBorder="1" applyFont="1"/>
    <xf borderId="41" fillId="0" fontId="15" numFmtId="165" xfId="0" applyAlignment="1" applyBorder="1" applyFont="1" applyNumberFormat="1">
      <alignment horizontal="center" vertical="center"/>
    </xf>
    <xf borderId="45" fillId="0" fontId="16" numFmtId="0" xfId="0" applyBorder="1" applyFont="1"/>
    <xf borderId="46" fillId="0" fontId="16" numFmtId="0" xfId="0" applyBorder="1" applyFont="1"/>
    <xf borderId="47" fillId="3" fontId="15" numFmtId="0" xfId="0" applyAlignment="1" applyBorder="1" applyFont="1">
      <alignment horizontal="center" vertical="center"/>
    </xf>
    <xf borderId="48" fillId="3" fontId="15" numFmtId="0" xfId="0" applyAlignment="1" applyBorder="1" applyFont="1">
      <alignment horizontal="center" vertical="center"/>
    </xf>
    <xf borderId="49" fillId="0" fontId="16" numFmtId="0" xfId="0" applyBorder="1" applyFont="1"/>
    <xf borderId="27" fillId="0" fontId="15" numFmtId="164" xfId="0" applyAlignment="1" applyBorder="1" applyFont="1" applyNumberFormat="1">
      <alignment horizontal="center" shrinkToFit="0" vertical="center" wrapText="1"/>
    </xf>
    <xf borderId="49" fillId="0" fontId="15" numFmtId="164" xfId="0" applyAlignment="1" applyBorder="1" applyFont="1" applyNumberFormat="1">
      <alignment horizontal="center" shrinkToFit="0" vertical="center" wrapText="1"/>
    </xf>
    <xf borderId="50" fillId="3" fontId="15" numFmtId="164" xfId="0" applyAlignment="1" applyBorder="1" applyFont="1" applyNumberFormat="1">
      <alignment horizontal="center" vertical="center"/>
    </xf>
    <xf borderId="48" fillId="8" fontId="15" numFmtId="165" xfId="0" applyAlignment="1" applyBorder="1" applyFont="1" applyNumberFormat="1">
      <alignment horizontal="center" shrinkToFit="0" vertical="center" wrapText="1"/>
    </xf>
    <xf borderId="48" fillId="8" fontId="15" numFmtId="164" xfId="0" applyAlignment="1" applyBorder="1" applyFont="1" applyNumberFormat="1">
      <alignment horizontal="center" shrinkToFit="0" vertical="center" wrapText="1"/>
    </xf>
    <xf borderId="48" fillId="8" fontId="15" numFmtId="164" xfId="0" applyAlignment="1" applyBorder="1" applyFont="1" applyNumberFormat="1">
      <alignment horizontal="center" vertical="center"/>
    </xf>
    <xf borderId="2" fillId="9" fontId="15" numFmtId="164" xfId="0" applyAlignment="1" applyBorder="1" applyFont="1" applyNumberFormat="1">
      <alignment horizontal="center" vertical="center"/>
    </xf>
    <xf borderId="2" fillId="9" fontId="15" numFmtId="164" xfId="0" applyAlignment="1" applyBorder="1" applyFont="1" applyNumberFormat="1">
      <alignment horizontal="center" shrinkToFit="0" vertical="center" wrapText="1"/>
    </xf>
    <xf borderId="50" fillId="9" fontId="17" numFmtId="170" xfId="0" applyAlignment="1" applyBorder="1" applyFont="1" applyNumberFormat="1">
      <alignment horizontal="center" shrinkToFit="0" vertical="center" wrapText="1"/>
    </xf>
    <xf borderId="51" fillId="0" fontId="16" numFmtId="0" xfId="0" applyBorder="1" applyFont="1"/>
    <xf borderId="48" fillId="10" fontId="17" numFmtId="170" xfId="0" applyAlignment="1" applyBorder="1" applyFont="1" applyNumberFormat="1">
      <alignment horizontal="center" shrinkToFit="0" vertical="center" wrapText="1"/>
    </xf>
    <xf borderId="50" fillId="3" fontId="17" numFmtId="170" xfId="0" applyAlignment="1" applyBorder="1" applyFont="1" applyNumberFormat="1">
      <alignment horizontal="center" vertical="center"/>
    </xf>
    <xf borderId="50" fillId="3" fontId="15" numFmtId="164" xfId="0" applyAlignment="1" applyBorder="1" applyFont="1" applyNumberFormat="1">
      <alignment horizontal="center" shrinkToFit="0" vertical="center" wrapText="1"/>
    </xf>
    <xf borderId="52" fillId="3" fontId="15" numFmtId="0" xfId="0" applyAlignment="1" applyBorder="1" applyFont="1">
      <alignment horizontal="center" vertical="center"/>
    </xf>
    <xf borderId="5" fillId="0" fontId="15" numFmtId="0" xfId="0" applyAlignment="1" applyBorder="1" applyFont="1">
      <alignment horizontal="center" vertical="center"/>
    </xf>
    <xf borderId="35" fillId="3" fontId="15" numFmtId="0" xfId="0" applyAlignment="1" applyBorder="1" applyFont="1">
      <alignment horizontal="center" vertical="center"/>
    </xf>
    <xf borderId="27" fillId="0" fontId="15" numFmtId="164" xfId="0" applyAlignment="1" applyBorder="1" applyFont="1" applyNumberFormat="1">
      <alignment horizontal="center" vertical="center"/>
    </xf>
    <xf borderId="27" fillId="0" fontId="15" numFmtId="166" xfId="0" applyAlignment="1" applyBorder="1" applyFont="1" applyNumberFormat="1">
      <alignment horizontal="center" vertical="center"/>
    </xf>
    <xf borderId="42" fillId="0" fontId="15" numFmtId="164" xfId="0" applyAlignment="1" applyBorder="1" applyFont="1" applyNumberFormat="1">
      <alignment horizontal="center" shrinkToFit="0" vertical="center" wrapText="1"/>
    </xf>
    <xf borderId="0" fillId="0" fontId="15" numFmtId="165" xfId="0" applyAlignment="1" applyFont="1" applyNumberFormat="1">
      <alignment horizontal="center" vertical="center"/>
    </xf>
    <xf borderId="27" fillId="0" fontId="15" numFmtId="165" xfId="0" applyAlignment="1" applyBorder="1" applyFont="1" applyNumberFormat="1">
      <alignment horizontal="center" vertical="center"/>
    </xf>
    <xf borderId="37" fillId="3" fontId="15" numFmtId="166" xfId="0" applyAlignment="1" applyBorder="1" applyFont="1" applyNumberFormat="1">
      <alignment horizontal="center" vertical="center"/>
    </xf>
    <xf borderId="46" fillId="0" fontId="15" numFmtId="165" xfId="0" applyAlignment="1" applyBorder="1" applyFont="1" applyNumberFormat="1">
      <alignment horizontal="center" vertical="center"/>
    </xf>
    <xf borderId="53" fillId="0" fontId="16" numFmtId="0" xfId="0" applyBorder="1" applyFont="1"/>
    <xf borderId="54" fillId="0" fontId="16" numFmtId="0" xfId="0" applyBorder="1" applyFont="1"/>
    <xf borderId="55" fillId="3" fontId="15" numFmtId="1" xfId="0" applyAlignment="1" applyBorder="1" applyFont="1" applyNumberFormat="1">
      <alignment horizontal="center" vertical="top"/>
    </xf>
    <xf borderId="56" fillId="3" fontId="15" numFmtId="1" xfId="0" applyAlignment="1" applyBorder="1" applyFont="1" applyNumberFormat="1">
      <alignment horizontal="center" vertical="top"/>
    </xf>
    <xf borderId="57" fillId="3" fontId="15" numFmtId="1" xfId="0" applyAlignment="1" applyBorder="1" applyFont="1" applyNumberFormat="1">
      <alignment horizontal="center" vertical="top"/>
    </xf>
    <xf borderId="57" fillId="3" fontId="15" numFmtId="164" xfId="0" applyAlignment="1" applyBorder="1" applyFont="1" applyNumberFormat="1">
      <alignment horizontal="center" vertical="top"/>
    </xf>
    <xf borderId="49" fillId="0" fontId="15" numFmtId="171" xfId="0" applyAlignment="1" applyBorder="1" applyFont="1" applyNumberFormat="1">
      <alignment horizontal="center" vertical="top"/>
    </xf>
    <xf borderId="50" fillId="3" fontId="15" numFmtId="171" xfId="0" applyAlignment="1" applyBorder="1" applyFont="1" applyNumberFormat="1">
      <alignment horizontal="center" vertical="top"/>
    </xf>
    <xf borderId="49" fillId="0" fontId="15" numFmtId="164" xfId="0" applyAlignment="1" applyBorder="1" applyFont="1" applyNumberFormat="1">
      <alignment horizontal="center" vertical="top"/>
    </xf>
    <xf borderId="40" fillId="0" fontId="15" numFmtId="166" xfId="0" applyAlignment="1" applyBorder="1" applyFont="1" applyNumberFormat="1">
      <alignment horizontal="center" vertical="top"/>
    </xf>
    <xf borderId="58" fillId="0" fontId="15" numFmtId="164" xfId="0" applyAlignment="1" applyBorder="1" applyFont="1" applyNumberFormat="1">
      <alignment horizontal="center" vertical="top"/>
    </xf>
    <xf borderId="59" fillId="0" fontId="15" numFmtId="164" xfId="0" applyAlignment="1" applyBorder="1" applyFont="1" applyNumberFormat="1">
      <alignment horizontal="center" vertical="top"/>
    </xf>
    <xf borderId="60" fillId="0" fontId="2" numFmtId="165" xfId="0" applyAlignment="1" applyBorder="1" applyFont="1" applyNumberFormat="1">
      <alignment horizontal="center" vertical="top"/>
    </xf>
    <xf borderId="50" fillId="3" fontId="2" numFmtId="166" xfId="0" applyAlignment="1" applyBorder="1" applyFont="1" applyNumberFormat="1">
      <alignment horizontal="center" vertical="top"/>
    </xf>
    <xf borderId="58" fillId="0" fontId="2" numFmtId="165" xfId="0" applyAlignment="1" applyBorder="1" applyFont="1" applyNumberFormat="1">
      <alignment horizontal="center" vertical="top"/>
    </xf>
    <xf borderId="61" fillId="0" fontId="2" numFmtId="165" xfId="0" applyAlignment="1" applyBorder="1" applyFont="1" applyNumberFormat="1">
      <alignment horizontal="center" vertical="top"/>
    </xf>
    <xf borderId="47" fillId="0" fontId="10" numFmtId="164" xfId="0" applyAlignment="1" applyBorder="1" applyFont="1" applyNumberFormat="1">
      <alignment horizontal="center" vertical="top"/>
    </xf>
    <xf borderId="62" fillId="0" fontId="10" numFmtId="37" xfId="0" applyAlignment="1" applyBorder="1" applyFont="1" applyNumberFormat="1">
      <alignment horizontal="center" vertical="top"/>
    </xf>
    <xf borderId="1" fillId="3" fontId="15" numFmtId="0" xfId="0" applyAlignment="1" applyBorder="1" applyFont="1">
      <alignment horizontal="center" vertical="top"/>
    </xf>
    <xf borderId="63" fillId="0" fontId="2" numFmtId="164" xfId="0" applyAlignment="1" applyBorder="1" applyFont="1" applyNumberFormat="1">
      <alignment vertical="center"/>
    </xf>
    <xf quotePrefix="1" borderId="64" fillId="0" fontId="2" numFmtId="164" xfId="0" applyAlignment="1" applyBorder="1" applyFont="1" applyNumberFormat="1">
      <alignment horizontal="center" vertical="center"/>
    </xf>
    <xf borderId="65" fillId="0" fontId="2" numFmtId="164" xfId="0" applyAlignment="1" applyBorder="1" applyFont="1" applyNumberFormat="1">
      <alignment vertical="center"/>
    </xf>
    <xf borderId="65" fillId="0" fontId="2" numFmtId="164" xfId="0" applyAlignment="1" applyBorder="1" applyFont="1" applyNumberFormat="1">
      <alignment horizontal="center" vertical="center"/>
    </xf>
    <xf borderId="65" fillId="0" fontId="2" numFmtId="165" xfId="0" applyAlignment="1" applyBorder="1" applyFont="1" applyNumberFormat="1">
      <alignment horizontal="center" vertical="center"/>
    </xf>
    <xf borderId="65" fillId="0" fontId="2" numFmtId="164" xfId="0" applyAlignment="1" applyBorder="1" applyFont="1" applyNumberFormat="1">
      <alignment horizontal="right" vertical="center"/>
    </xf>
    <xf borderId="65" fillId="0" fontId="2" numFmtId="166" xfId="0" applyAlignment="1" applyBorder="1" applyFont="1" applyNumberFormat="1">
      <alignment vertical="center"/>
    </xf>
    <xf borderId="65" fillId="0" fontId="18" numFmtId="164" xfId="0" applyAlignment="1" applyBorder="1" applyFont="1" applyNumberFormat="1">
      <alignment horizontal="right" vertical="center"/>
    </xf>
    <xf borderId="65" fillId="0" fontId="17" numFmtId="164" xfId="0" applyAlignment="1" applyBorder="1" applyFont="1" applyNumberFormat="1">
      <alignment vertical="center"/>
    </xf>
    <xf borderId="65" fillId="0" fontId="19" numFmtId="164" xfId="0" applyAlignment="1" applyBorder="1" applyFont="1" applyNumberFormat="1">
      <alignment vertical="center"/>
    </xf>
    <xf borderId="41" fillId="0" fontId="19" numFmtId="3" xfId="0" applyAlignment="1" applyBorder="1" applyFont="1" applyNumberFormat="1">
      <alignment horizontal="center" shrinkToFit="0" vertical="center" wrapText="1"/>
    </xf>
    <xf borderId="63" fillId="0" fontId="2" numFmtId="164" xfId="0" applyAlignment="1" applyBorder="1" applyFont="1" applyNumberFormat="1">
      <alignment horizontal="center" vertical="center"/>
    </xf>
    <xf borderId="65" fillId="0" fontId="2" numFmtId="164" xfId="0" applyAlignment="1" applyBorder="1" applyFont="1" applyNumberFormat="1">
      <alignment horizontal="left" vertical="center"/>
    </xf>
    <xf borderId="66" fillId="0" fontId="2" numFmtId="164" xfId="0" applyAlignment="1" applyBorder="1" applyFont="1" applyNumberFormat="1">
      <alignment horizontal="center" vertical="center"/>
    </xf>
    <xf borderId="67" fillId="0" fontId="8" numFmtId="0" xfId="0" applyAlignment="1" applyBorder="1" applyFont="1">
      <alignment horizontal="center" vertical="center"/>
    </xf>
    <xf borderId="65" fillId="0" fontId="15" numFmtId="165" xfId="0" applyAlignment="1" applyBorder="1" applyFont="1" applyNumberFormat="1">
      <alignment vertical="center"/>
    </xf>
    <xf borderId="65" fillId="0" fontId="15" numFmtId="165" xfId="0" applyAlignment="1" applyBorder="1" applyFont="1" applyNumberFormat="1">
      <alignment horizontal="center" vertical="center"/>
    </xf>
    <xf borderId="66" fillId="0" fontId="15" numFmtId="165" xfId="0" applyAlignment="1" applyBorder="1" applyFont="1" applyNumberFormat="1">
      <alignment horizontal="center" vertical="center"/>
    </xf>
    <xf borderId="68" fillId="0" fontId="15" numFmtId="165" xfId="0" applyAlignment="1" applyBorder="1" applyFont="1" applyNumberFormat="1">
      <alignment horizontal="center" vertical="center"/>
    </xf>
    <xf borderId="69" fillId="0" fontId="2" numFmtId="164" xfId="0" applyAlignment="1" applyBorder="1" applyFont="1" applyNumberFormat="1">
      <alignment horizontal="center" vertical="center"/>
    </xf>
    <xf borderId="70" fillId="0" fontId="2" numFmtId="164" xfId="0" applyAlignment="1" applyBorder="1" applyFont="1" applyNumberFormat="1">
      <alignment horizontal="left" vertical="center"/>
    </xf>
    <xf borderId="66" fillId="0" fontId="15" numFmtId="164" xfId="0" applyAlignment="1" applyBorder="1" applyFont="1" applyNumberFormat="1">
      <alignment horizontal="center" vertical="center"/>
    </xf>
    <xf borderId="71" fillId="0" fontId="15" numFmtId="164" xfId="0" applyAlignment="1" applyBorder="1" applyFont="1" applyNumberFormat="1">
      <alignment horizontal="center" vertical="center"/>
    </xf>
    <xf borderId="0" fillId="0" fontId="20" numFmtId="164" xfId="0" applyAlignment="1" applyFont="1" applyNumberFormat="1">
      <alignment vertical="center"/>
    </xf>
    <xf borderId="1" fillId="3" fontId="14" numFmtId="0" xfId="0" applyAlignment="1" applyBorder="1" applyFont="1">
      <alignment vertical="center"/>
    </xf>
    <xf borderId="1" fillId="3" fontId="14" numFmtId="0" xfId="0" applyAlignment="1" applyBorder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009999"/>
          <bgColor rgb="FF009999"/>
        </patternFill>
      </fill>
      <border/>
    </dxf>
    <dxf>
      <font/>
      <fill>
        <patternFill patternType="solid">
          <fgColor rgb="FFFFFF66"/>
          <bgColor rgb="FFFFFF66"/>
        </patternFill>
      </fill>
      <border/>
    </dxf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21</xdr:row>
      <xdr:rowOff>9525</xdr:rowOff>
    </xdr:from>
    <xdr:ext cx="1171575" cy="323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47625</xdr:colOff>
      <xdr:row>12</xdr:row>
      <xdr:rowOff>38100</xdr:rowOff>
    </xdr:from>
    <xdr:ext cx="1171575" cy="15621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76</xdr:col>
      <xdr:colOff>28575</xdr:colOff>
      <xdr:row>12</xdr:row>
      <xdr:rowOff>19050</xdr:rowOff>
    </xdr:from>
    <xdr:ext cx="1181100" cy="15716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>
      <pane xSplit="4.0" ySplit="30.0" topLeftCell="E31" activePane="bottomRight" state="frozen"/>
      <selection activeCell="E1" sqref="E1" pane="topRight"/>
      <selection activeCell="A31" sqref="A31" pane="bottomLeft"/>
      <selection activeCell="E31" sqref="E31" pane="bottomRight"/>
    </sheetView>
  </sheetViews>
  <sheetFormatPr customHeight="1" defaultColWidth="12.63" defaultRowHeight="15.75"/>
  <cols>
    <col customWidth="1" min="1" max="1" width="4.0"/>
    <col customWidth="1" min="2" max="2" width="6.88"/>
    <col customWidth="1" min="3" max="3" width="15.63"/>
    <col customWidth="1" min="4" max="4" width="8.38"/>
    <col customWidth="1" min="5" max="5" width="12.88"/>
    <col customWidth="1" min="6" max="6" width="12.25"/>
    <col customWidth="1" min="7" max="7" width="12.13"/>
    <col customWidth="1" min="8" max="8" width="16.38"/>
    <col customWidth="1" min="9" max="9" width="6.88"/>
    <col customWidth="1" min="10" max="10" width="13.0"/>
    <col customWidth="1" min="11" max="11" width="12.25"/>
    <col customWidth="1" min="12" max="12" width="7.88"/>
    <col customWidth="1" min="13" max="13" width="9.25"/>
    <col customWidth="1" min="14" max="14" width="7.88"/>
    <col customWidth="1" min="15" max="15" width="6.5"/>
    <col customWidth="1" min="16" max="18" width="10.0"/>
    <col customWidth="1" min="19" max="19" width="11.25"/>
    <col customWidth="1" min="20" max="20" width="7.5"/>
    <col customWidth="1" min="21" max="21" width="12.25"/>
    <col customWidth="1" min="22" max="22" width="12.75"/>
    <col customWidth="1" min="23" max="23" width="12.0"/>
    <col customWidth="1" min="24" max="24" width="10.63"/>
    <col customWidth="1" min="25" max="25" width="12.0"/>
    <col customWidth="1" min="26" max="26" width="15.0"/>
    <col customWidth="1" min="27" max="27" width="13.13"/>
    <col customWidth="1" min="28" max="28" width="12.5"/>
    <col customWidth="1" min="29" max="29" width="10.5"/>
    <col customWidth="1" min="30" max="30" width="11.13"/>
    <col customWidth="1" min="31" max="31" width="10.38"/>
    <col customWidth="1" min="32" max="32" width="10.25"/>
    <col customWidth="1" min="33" max="33" width="12.75"/>
    <col customWidth="1" min="34" max="34" width="14.5"/>
    <col customWidth="1" min="35" max="35" width="11.25"/>
    <col customWidth="1" min="36" max="36" width="13.38"/>
    <col customWidth="1" min="37" max="37" width="6.5"/>
    <col customWidth="1" min="38" max="38" width="4.13"/>
    <col customWidth="1" min="39" max="39" width="16.88"/>
    <col customWidth="1" min="40" max="40" width="10.63"/>
    <col customWidth="1" min="41" max="41" width="4.0"/>
    <col customWidth="1" min="42" max="55" width="3.88"/>
    <col customWidth="1" min="56" max="56" width="4.25"/>
    <col customWidth="1" min="57" max="66" width="3.88"/>
    <col customWidth="1" min="67" max="67" width="4.13"/>
    <col customWidth="1" min="68" max="68" width="3.88"/>
    <col customWidth="1" min="69" max="71" width="4.25"/>
    <col customWidth="1" min="72" max="72" width="8.0"/>
    <col customWidth="1" min="73" max="73" width="8.88"/>
    <col customWidth="1" min="74" max="74" width="8.63"/>
    <col customWidth="1" min="75" max="75" width="7.25"/>
    <col customWidth="1" min="76" max="76" width="4.38"/>
    <col customWidth="1" min="77" max="77" width="20.13"/>
    <col customWidth="1" min="78" max="78" width="10.5"/>
    <col customWidth="1" min="79" max="81" width="3.88"/>
    <col customWidth="1" min="82" max="84" width="3.75"/>
    <col customWidth="1" min="85" max="85" width="4.0"/>
    <col customWidth="1" min="86" max="87" width="3.75"/>
    <col customWidth="1" min="88" max="88" width="3.88"/>
    <col customWidth="1" min="89" max="94" width="3.75"/>
    <col customWidth="1" min="95" max="95" width="4.0"/>
    <col customWidth="1" min="96" max="98" width="3.75"/>
    <col customWidth="1" min="99" max="100" width="3.63"/>
    <col customWidth="1" min="101" max="101" width="3.75"/>
    <col customWidth="1" min="102" max="105" width="4.38"/>
    <col customWidth="1" min="106" max="106" width="3.75"/>
    <col customWidth="1" min="107" max="109" width="4.13"/>
    <col customWidth="1" min="110" max="110" width="6.38"/>
    <col customWidth="1" min="111" max="111" width="5.75"/>
    <col customWidth="1" min="112" max="112" width="5.0"/>
    <col customWidth="1" min="113" max="113" width="6.5"/>
    <col customWidth="1" min="114" max="114" width="6.63"/>
    <col customWidth="1" min="115" max="115" width="15.38"/>
    <col customWidth="1" min="116" max="116" width="14.5"/>
    <col customWidth="1" min="117" max="117" width="9.25"/>
  </cols>
  <sheetData>
    <row r="1" ht="11.25" hidden="1" customHeight="1">
      <c r="A1" s="1"/>
      <c r="B1" s="2"/>
      <c r="C1" s="3"/>
      <c r="D1" s="3"/>
      <c r="E1" s="3"/>
      <c r="F1" s="4"/>
      <c r="G1" s="4"/>
      <c r="H1" s="4"/>
      <c r="I1" s="5"/>
      <c r="J1" s="4"/>
      <c r="K1" s="4"/>
      <c r="L1" s="6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3"/>
      <c r="AL1" s="3"/>
      <c r="AM1" s="3"/>
      <c r="AN1" s="7" t="s">
        <v>0</v>
      </c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8"/>
      <c r="BU1" s="8"/>
      <c r="BV1" s="8"/>
      <c r="BW1" s="8"/>
      <c r="BX1" s="3"/>
      <c r="BY1" s="3"/>
      <c r="BZ1" s="3"/>
      <c r="CA1" s="8"/>
      <c r="CB1" s="8"/>
      <c r="CC1" s="8"/>
      <c r="CD1" s="8"/>
      <c r="CE1" s="8"/>
      <c r="CF1" s="8"/>
      <c r="CG1" s="9"/>
      <c r="CH1" s="8"/>
      <c r="CI1" s="8"/>
      <c r="CJ1" s="8"/>
      <c r="CK1" s="8"/>
      <c r="CL1" s="8"/>
      <c r="CM1" s="8"/>
      <c r="CN1" s="8"/>
      <c r="CO1" s="8"/>
      <c r="CP1" s="8"/>
      <c r="CQ1" s="9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9"/>
      <c r="DG1" s="9"/>
      <c r="DH1" s="10"/>
      <c r="DI1" s="9"/>
      <c r="DJ1" s="9"/>
      <c r="DK1" s="3"/>
      <c r="DL1" s="3"/>
      <c r="DM1" s="3"/>
    </row>
    <row r="2" ht="11.25" hidden="1" customHeight="1">
      <c r="A2" s="1"/>
      <c r="B2" s="2"/>
      <c r="C2" s="3"/>
      <c r="D2" s="3"/>
      <c r="E2" s="3"/>
      <c r="F2" s="4"/>
      <c r="G2" s="4"/>
      <c r="H2" s="4"/>
      <c r="I2" s="5"/>
      <c r="J2" s="4"/>
      <c r="K2" s="4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3"/>
      <c r="AL2" s="3"/>
      <c r="AM2" s="11" t="s">
        <v>1</v>
      </c>
      <c r="AN2" s="12"/>
      <c r="AO2" s="12"/>
      <c r="AP2" s="2"/>
      <c r="AQ2" s="13">
        <f>AN14</f>
        <v>9</v>
      </c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8"/>
      <c r="BU2" s="8"/>
      <c r="BV2" s="8"/>
      <c r="BW2" s="8"/>
      <c r="BX2" s="3"/>
      <c r="BY2" s="3"/>
      <c r="BZ2" s="3"/>
      <c r="CA2" s="8"/>
      <c r="CB2" s="8"/>
      <c r="CC2" s="8"/>
      <c r="CD2" s="8"/>
      <c r="CE2" s="8"/>
      <c r="CF2" s="8"/>
      <c r="CG2" s="9"/>
      <c r="CH2" s="8"/>
      <c r="CI2" s="8"/>
      <c r="CJ2" s="8"/>
      <c r="CK2" s="8"/>
      <c r="CL2" s="8"/>
      <c r="CM2" s="8"/>
      <c r="CN2" s="8"/>
      <c r="CO2" s="8"/>
      <c r="CP2" s="8"/>
      <c r="CQ2" s="9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9"/>
      <c r="DG2" s="9"/>
      <c r="DH2" s="10"/>
      <c r="DI2" s="9"/>
      <c r="DJ2" s="9"/>
      <c r="DK2" s="3"/>
      <c r="DL2" s="3"/>
      <c r="DM2" s="3"/>
    </row>
    <row r="3" ht="11.25" hidden="1" customHeight="1">
      <c r="A3" s="1"/>
      <c r="B3" s="2"/>
      <c r="C3" s="3"/>
      <c r="D3" s="3"/>
      <c r="E3" s="3"/>
      <c r="F3" s="4"/>
      <c r="G3" s="4"/>
      <c r="H3" s="4"/>
      <c r="I3" s="5"/>
      <c r="J3" s="4"/>
      <c r="K3" s="4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3"/>
      <c r="AL3" s="3"/>
      <c r="AM3" s="14" t="s">
        <v>2</v>
      </c>
      <c r="AN3" s="15" t="s">
        <v>3</v>
      </c>
      <c r="AO3" s="2"/>
      <c r="AP3" s="2"/>
      <c r="AQ3" s="2" t="b">
        <f>IF($AN$15="",FALSE,TRUE)</f>
        <v>1</v>
      </c>
      <c r="AR3" s="2"/>
      <c r="AS3" s="2"/>
      <c r="AT3" s="16"/>
      <c r="AU3" s="16"/>
      <c r="AV3" s="16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8"/>
      <c r="BU3" s="8"/>
      <c r="BV3" s="8"/>
      <c r="BW3" s="8"/>
      <c r="BX3" s="3"/>
      <c r="BY3" s="3"/>
      <c r="BZ3" s="3"/>
      <c r="CA3" s="8"/>
      <c r="CB3" s="8"/>
      <c r="CC3" s="8"/>
      <c r="CD3" s="8"/>
      <c r="CE3" s="8"/>
      <c r="CF3" s="8"/>
      <c r="CG3" s="9"/>
      <c r="CH3" s="8"/>
      <c r="CI3" s="8"/>
      <c r="CJ3" s="8"/>
      <c r="CK3" s="8"/>
      <c r="CL3" s="8"/>
      <c r="CM3" s="8"/>
      <c r="CN3" s="8"/>
      <c r="CO3" s="8"/>
      <c r="CP3" s="8"/>
      <c r="CQ3" s="9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9"/>
      <c r="DG3" s="9"/>
      <c r="DH3" s="10"/>
      <c r="DI3" s="9"/>
      <c r="DJ3" s="9"/>
      <c r="DK3" s="3"/>
      <c r="DL3" s="3"/>
      <c r="DM3" s="3"/>
    </row>
    <row r="4" ht="11.25" hidden="1" customHeight="1">
      <c r="A4" s="1"/>
      <c r="B4" s="2"/>
      <c r="C4" s="3"/>
      <c r="D4" s="3"/>
      <c r="E4" s="3"/>
      <c r="F4" s="4"/>
      <c r="G4" s="4"/>
      <c r="H4" s="4"/>
      <c r="I4" s="5"/>
      <c r="J4" s="4"/>
      <c r="K4" s="4"/>
      <c r="L4" s="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3"/>
      <c r="AL4" s="3"/>
      <c r="AM4" s="14" t="s">
        <v>4</v>
      </c>
      <c r="AN4" s="15" t="s">
        <v>5</v>
      </c>
      <c r="AO4" s="2"/>
      <c r="AP4" s="2"/>
      <c r="AQ4" s="2" t="b">
        <f>IF($AN$16="",FALSE,TRUE)</f>
        <v>1</v>
      </c>
      <c r="AR4" s="2"/>
      <c r="AS4" s="2"/>
      <c r="AT4" s="16" t="s">
        <v>6</v>
      </c>
      <c r="AU4" s="16" t="s">
        <v>7</v>
      </c>
      <c r="AV4" s="16" t="s">
        <v>5</v>
      </c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8"/>
      <c r="BU4" s="8"/>
      <c r="BV4" s="8"/>
      <c r="BW4" s="8"/>
      <c r="BX4" s="3"/>
      <c r="BY4" s="3"/>
      <c r="BZ4" s="3"/>
      <c r="CA4" s="8"/>
      <c r="CB4" s="8"/>
      <c r="CC4" s="8"/>
      <c r="CD4" s="8"/>
      <c r="CE4" s="8"/>
      <c r="CF4" s="8"/>
      <c r="CG4" s="9"/>
      <c r="CH4" s="8"/>
      <c r="CI4" s="8"/>
      <c r="CJ4" s="8"/>
      <c r="CK4" s="8"/>
      <c r="CL4" s="8"/>
      <c r="CM4" s="8"/>
      <c r="CN4" s="8"/>
      <c r="CO4" s="8"/>
      <c r="CP4" s="8"/>
      <c r="CQ4" s="9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9"/>
      <c r="DG4" s="9"/>
      <c r="DH4" s="10"/>
      <c r="DI4" s="9"/>
      <c r="DJ4" s="9"/>
      <c r="DK4" s="3"/>
      <c r="DL4" s="3"/>
      <c r="DM4" s="3"/>
    </row>
    <row r="5" ht="11.25" hidden="1" customHeight="1">
      <c r="A5" s="1"/>
      <c r="B5" s="2"/>
      <c r="C5" s="3"/>
      <c r="D5" s="3"/>
      <c r="E5" s="3"/>
      <c r="F5" s="4"/>
      <c r="G5" s="4"/>
      <c r="H5" s="4"/>
      <c r="I5" s="5"/>
      <c r="J5" s="4"/>
      <c r="K5" s="4"/>
      <c r="L5" s="6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3"/>
      <c r="AL5" s="3"/>
      <c r="AM5" s="14" t="s">
        <v>8</v>
      </c>
      <c r="AN5" s="15" t="s">
        <v>9</v>
      </c>
      <c r="AO5" s="2"/>
      <c r="AP5" s="2"/>
      <c r="AQ5" s="2" t="b">
        <f>IF($AN$17="",FALSE,TRUE)</f>
        <v>1</v>
      </c>
      <c r="AR5" s="2"/>
      <c r="AS5" s="2"/>
      <c r="AT5" s="16"/>
      <c r="AU5" s="17"/>
      <c r="AV5" s="18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8"/>
      <c r="BU5" s="8"/>
      <c r="BV5" s="8"/>
      <c r="BW5" s="8"/>
      <c r="BX5" s="3"/>
      <c r="BY5" s="3"/>
      <c r="BZ5" s="3"/>
      <c r="CA5" s="8"/>
      <c r="CB5" s="8"/>
      <c r="CC5" s="8"/>
      <c r="CD5" s="8"/>
      <c r="CE5" s="8"/>
      <c r="CF5" s="8"/>
      <c r="CG5" s="9"/>
      <c r="CH5" s="8"/>
      <c r="CI5" s="8"/>
      <c r="CJ5" s="8"/>
      <c r="CK5" s="8"/>
      <c r="CL5" s="8"/>
      <c r="CM5" s="8"/>
      <c r="CN5" s="8"/>
      <c r="CO5" s="8"/>
      <c r="CP5" s="8"/>
      <c r="CQ5" s="9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9"/>
      <c r="DG5" s="9"/>
      <c r="DH5" s="10"/>
      <c r="DI5" s="9"/>
      <c r="DJ5" s="9"/>
      <c r="DK5" s="3"/>
      <c r="DL5" s="3"/>
      <c r="DM5" s="3"/>
    </row>
    <row r="6" ht="11.25" hidden="1" customHeight="1">
      <c r="A6" s="1"/>
      <c r="B6" s="2"/>
      <c r="C6" s="3"/>
      <c r="D6" s="3"/>
      <c r="E6" s="3"/>
      <c r="F6" s="4"/>
      <c r="G6" s="4"/>
      <c r="H6" s="4"/>
      <c r="I6" s="5"/>
      <c r="J6" s="4"/>
      <c r="K6" s="4"/>
      <c r="L6" s="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3"/>
      <c r="AL6" s="3"/>
      <c r="AM6" s="19" t="s">
        <v>10</v>
      </c>
      <c r="AN6" s="15" t="s">
        <v>11</v>
      </c>
      <c r="AO6" s="2"/>
      <c r="AP6" s="2"/>
      <c r="AQ6" s="2" t="b">
        <f>IF($AN$18="",FALSE,TRUE)</f>
        <v>1</v>
      </c>
      <c r="AR6" s="2"/>
      <c r="AS6" s="2"/>
      <c r="AT6" s="16" t="s">
        <v>12</v>
      </c>
      <c r="AU6" s="17"/>
      <c r="AV6" s="18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8"/>
      <c r="BU6" s="8"/>
      <c r="BV6" s="8"/>
      <c r="BW6" s="8"/>
      <c r="BX6" s="3"/>
      <c r="BY6" s="3"/>
      <c r="BZ6" s="3"/>
      <c r="CA6" s="8"/>
      <c r="CB6" s="8"/>
      <c r="CC6" s="8"/>
      <c r="CD6" s="8"/>
      <c r="CE6" s="8"/>
      <c r="CF6" s="8"/>
      <c r="CG6" s="9"/>
      <c r="CH6" s="8"/>
      <c r="CI6" s="8"/>
      <c r="CJ6" s="8"/>
      <c r="CK6" s="8"/>
      <c r="CL6" s="8"/>
      <c r="CM6" s="8"/>
      <c r="CN6" s="8"/>
      <c r="CO6" s="8"/>
      <c r="CP6" s="8"/>
      <c r="CQ6" s="9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9"/>
      <c r="DG6" s="9"/>
      <c r="DH6" s="10"/>
      <c r="DI6" s="9"/>
      <c r="DJ6" s="9"/>
      <c r="DK6" s="3"/>
      <c r="DL6" s="3"/>
      <c r="DM6" s="3"/>
    </row>
    <row r="7" ht="11.25" hidden="1" customHeight="1">
      <c r="A7" s="1"/>
      <c r="B7" s="2"/>
      <c r="C7" s="3"/>
      <c r="D7" s="3"/>
      <c r="E7" s="3"/>
      <c r="F7" s="4"/>
      <c r="G7" s="4"/>
      <c r="H7" s="4"/>
      <c r="I7" s="5"/>
      <c r="J7" s="4"/>
      <c r="K7" s="4"/>
      <c r="L7" s="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3"/>
      <c r="AL7" s="3"/>
      <c r="AM7" s="19" t="s">
        <v>13</v>
      </c>
      <c r="AN7" s="15" t="s">
        <v>12</v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8"/>
      <c r="BU7" s="8"/>
      <c r="BV7" s="8"/>
      <c r="BW7" s="8"/>
      <c r="BX7" s="3"/>
      <c r="BY7" s="3"/>
      <c r="BZ7" s="3"/>
      <c r="CA7" s="8"/>
      <c r="CB7" s="8"/>
      <c r="CC7" s="8"/>
      <c r="CD7" s="8"/>
      <c r="CE7" s="8"/>
      <c r="CF7" s="8"/>
      <c r="CG7" s="9"/>
      <c r="CH7" s="8"/>
      <c r="CI7" s="8"/>
      <c r="CJ7" s="8"/>
      <c r="CK7" s="8"/>
      <c r="CL7" s="8"/>
      <c r="CM7" s="8"/>
      <c r="CN7" s="8"/>
      <c r="CO7" s="8"/>
      <c r="CP7" s="8"/>
      <c r="CQ7" s="9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9"/>
      <c r="DG7" s="9"/>
      <c r="DH7" s="10"/>
      <c r="DI7" s="9"/>
      <c r="DJ7" s="9"/>
      <c r="DK7" s="3"/>
      <c r="DL7" s="3"/>
      <c r="DM7" s="3"/>
    </row>
    <row r="8" ht="11.25" hidden="1" customHeight="1">
      <c r="A8" s="1"/>
      <c r="B8" s="2"/>
      <c r="C8" s="3"/>
      <c r="D8" s="3"/>
      <c r="E8" s="3"/>
      <c r="F8" s="4"/>
      <c r="G8" s="4"/>
      <c r="H8" s="4"/>
      <c r="I8" s="5"/>
      <c r="J8" s="4"/>
      <c r="K8" s="4"/>
      <c r="L8" s="6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3"/>
      <c r="AL8" s="3"/>
      <c r="AM8" s="19" t="s">
        <v>14</v>
      </c>
      <c r="AN8" s="20" t="s">
        <v>15</v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8"/>
      <c r="BU8" s="8"/>
      <c r="BV8" s="8"/>
      <c r="BW8" s="8"/>
      <c r="BX8" s="3"/>
      <c r="BY8" s="3"/>
      <c r="BZ8" s="3"/>
      <c r="CA8" s="8"/>
      <c r="CB8" s="8"/>
      <c r="CC8" s="8"/>
      <c r="CD8" s="8"/>
      <c r="CE8" s="8"/>
      <c r="CF8" s="8"/>
      <c r="CG8" s="9"/>
      <c r="CH8" s="8"/>
      <c r="CI8" s="8"/>
      <c r="CJ8" s="8"/>
      <c r="CK8" s="8"/>
      <c r="CL8" s="8"/>
      <c r="CM8" s="8"/>
      <c r="CN8" s="8"/>
      <c r="CO8" s="8"/>
      <c r="CP8" s="8"/>
      <c r="CQ8" s="9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9"/>
      <c r="DG8" s="9"/>
      <c r="DH8" s="10"/>
      <c r="DI8" s="9"/>
      <c r="DJ8" s="9"/>
      <c r="DK8" s="3"/>
      <c r="DL8" s="3"/>
      <c r="DM8" s="3"/>
    </row>
    <row r="9" ht="11.25" hidden="1" customHeight="1">
      <c r="A9" s="1"/>
      <c r="B9" s="2"/>
      <c r="C9" s="3"/>
      <c r="D9" s="3"/>
      <c r="E9" s="3"/>
      <c r="F9" s="4"/>
      <c r="G9" s="4"/>
      <c r="H9" s="4"/>
      <c r="I9" s="5"/>
      <c r="J9" s="4"/>
      <c r="K9" s="4"/>
      <c r="L9" s="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3"/>
      <c r="AL9" s="3"/>
      <c r="AM9" s="21"/>
      <c r="AN9" s="22"/>
      <c r="AO9" s="2" t="str">
        <f>COUNTIF('Danh sách ngày nghỉ trong năm'!$J$6:$J$159,'Bảng chấm công'!AO$30)</f>
        <v>#REF!</v>
      </c>
      <c r="AP9" s="2" t="str">
        <f>COUNTIF('Danh sách ngày nghỉ trong năm'!$J$6:$J$159,'Bảng chấm công'!AP$30)</f>
        <v>#REF!</v>
      </c>
      <c r="AQ9" s="2" t="str">
        <f>COUNTIF('Danh sách ngày nghỉ trong năm'!$J$6:$J$159,'Bảng chấm công'!AQ$30)</f>
        <v>#REF!</v>
      </c>
      <c r="AR9" s="2" t="str">
        <f>COUNTIF('Danh sách ngày nghỉ trong năm'!$J$6:$J$159,'Bảng chấm công'!AR$30)</f>
        <v>#REF!</v>
      </c>
      <c r="AS9" s="2" t="str">
        <f>COUNTIF('Danh sách ngày nghỉ trong năm'!$J$6:$J$159,'Bảng chấm công'!AS$30)</f>
        <v>#REF!</v>
      </c>
      <c r="AT9" s="2" t="str">
        <f>COUNTIF('Danh sách ngày nghỉ trong năm'!$J$6:$J$159,'Bảng chấm công'!AT$30)</f>
        <v>#REF!</v>
      </c>
      <c r="AU9" s="2" t="str">
        <f>COUNTIF('Danh sách ngày nghỉ trong năm'!$J$6:$J$159,'Bảng chấm công'!AU$30)</f>
        <v>#REF!</v>
      </c>
      <c r="AV9" s="2" t="str">
        <f>COUNTIF('Danh sách ngày nghỉ trong năm'!$J$6:$J$159,'Bảng chấm công'!AV$30)</f>
        <v>#REF!</v>
      </c>
      <c r="AW9" s="2" t="str">
        <f>COUNTIF('Danh sách ngày nghỉ trong năm'!$J$6:$J$159,'Bảng chấm công'!AW$30)</f>
        <v>#REF!</v>
      </c>
      <c r="AX9" s="2" t="str">
        <f>COUNTIF('Danh sách ngày nghỉ trong năm'!$J$6:$J$159,'Bảng chấm công'!AX$30)</f>
        <v>#REF!</v>
      </c>
      <c r="AY9" s="2" t="str">
        <f>COUNTIF('Danh sách ngày nghỉ trong năm'!$J$6:$J$159,'Bảng chấm công'!AY$30)</f>
        <v>#REF!</v>
      </c>
      <c r="AZ9" s="2" t="str">
        <f>COUNTIF('Danh sách ngày nghỉ trong năm'!$J$6:$J$159,'Bảng chấm công'!AZ$30)</f>
        <v>#REF!</v>
      </c>
      <c r="BA9" s="2" t="str">
        <f>COUNTIF('Danh sách ngày nghỉ trong năm'!$J$6:$J$159,'Bảng chấm công'!BA$30)</f>
        <v>#REF!</v>
      </c>
      <c r="BB9" s="2" t="str">
        <f>COUNTIF('Danh sách ngày nghỉ trong năm'!$J$6:$J$159,'Bảng chấm công'!BB$30)</f>
        <v>#REF!</v>
      </c>
      <c r="BC9" s="2" t="str">
        <f>COUNTIF('Danh sách ngày nghỉ trong năm'!$J$6:$J$159,'Bảng chấm công'!BC$30)</f>
        <v>#REF!</v>
      </c>
      <c r="BD9" s="2" t="str">
        <f>COUNTIF('Danh sách ngày nghỉ trong năm'!$J$6:$J$159,'Bảng chấm công'!BD$30)</f>
        <v>#REF!</v>
      </c>
      <c r="BE9" s="2" t="str">
        <f>COUNTIF('Danh sách ngày nghỉ trong năm'!$J$6:$J$159,'Bảng chấm công'!BE$30)</f>
        <v>#REF!</v>
      </c>
      <c r="BF9" s="2" t="str">
        <f>COUNTIF('Danh sách ngày nghỉ trong năm'!$J$6:$J$159,'Bảng chấm công'!BF$30)</f>
        <v>#REF!</v>
      </c>
      <c r="BG9" s="2" t="str">
        <f>COUNTIF('Danh sách ngày nghỉ trong năm'!$J$6:$J$159,'Bảng chấm công'!BG$30)</f>
        <v>#REF!</v>
      </c>
      <c r="BH9" s="2" t="str">
        <f>COUNTIF('Danh sách ngày nghỉ trong năm'!$J$6:$J$159,'Bảng chấm công'!BH$30)</f>
        <v>#REF!</v>
      </c>
      <c r="BI9" s="2" t="str">
        <f>COUNTIF('Danh sách ngày nghỉ trong năm'!$J$6:$J$159,'Bảng chấm công'!BI$30)</f>
        <v>#REF!</v>
      </c>
      <c r="BJ9" s="2" t="str">
        <f>COUNTIF('Danh sách ngày nghỉ trong năm'!$J$6:$J$159,'Bảng chấm công'!BJ$30)</f>
        <v>#REF!</v>
      </c>
      <c r="BK9" s="2" t="str">
        <f>COUNTIF('Danh sách ngày nghỉ trong năm'!$J$6:$J$159,'Bảng chấm công'!BK$30)</f>
        <v>#REF!</v>
      </c>
      <c r="BL9" s="2" t="str">
        <f>COUNTIF('Danh sách ngày nghỉ trong năm'!$J$6:$J$159,'Bảng chấm công'!BL$30)</f>
        <v>#REF!</v>
      </c>
      <c r="BM9" s="2" t="str">
        <f>COUNTIF('Danh sách ngày nghỉ trong năm'!$J$6:$J$159,'Bảng chấm công'!BM$30)</f>
        <v>#REF!</v>
      </c>
      <c r="BN9" s="2" t="str">
        <f>COUNTIF('Danh sách ngày nghỉ trong năm'!$J$6:$J$159,'Bảng chấm công'!BN$30)</f>
        <v>#REF!</v>
      </c>
      <c r="BO9" s="2" t="str">
        <f>COUNTIF('Danh sách ngày nghỉ trong năm'!$J$6:$J$159,'Bảng chấm công'!BO$30)</f>
        <v>#REF!</v>
      </c>
      <c r="BP9" s="2" t="str">
        <f>COUNTIF('Danh sách ngày nghỉ trong năm'!$J$6:$J$159,'Bảng chấm công'!BP$30)</f>
        <v>#REF!</v>
      </c>
      <c r="BQ9" s="2" t="str">
        <f>COUNTIF('Danh sách ngày nghỉ trong năm'!$J$6:$J$159,'Bảng chấm công'!BQ$30)</f>
        <v>#REF!</v>
      </c>
      <c r="BR9" s="2" t="str">
        <f>COUNTIF('Danh sách ngày nghỉ trong năm'!$J$6:$J$159,'Bảng chấm công'!BR$30)</f>
        <v>#REF!</v>
      </c>
      <c r="BS9" s="2" t="str">
        <f>COUNTIF('Danh sách ngày nghỉ trong năm'!$J$6:$J$159,'Bảng chấm công'!BS$30)</f>
        <v>#REF!</v>
      </c>
      <c r="BT9" s="8"/>
      <c r="BU9" s="8"/>
      <c r="BV9" s="8"/>
      <c r="BW9" s="8"/>
      <c r="BX9" s="3"/>
      <c r="BY9" s="3"/>
      <c r="BZ9" s="3"/>
      <c r="CA9" s="2" t="str">
        <f t="shared" ref="CA9:DE9" si="1">COUNTIF('Danh sách ngày nghỉ trong năm'!$J$6:$J$159,CA$30)</f>
        <v>#REF!</v>
      </c>
      <c r="CB9" s="2" t="str">
        <f t="shared" si="1"/>
        <v>#REF!</v>
      </c>
      <c r="CC9" s="2" t="str">
        <f t="shared" si="1"/>
        <v>#REF!</v>
      </c>
      <c r="CD9" s="2" t="str">
        <f t="shared" si="1"/>
        <v>#REF!</v>
      </c>
      <c r="CE9" s="2" t="str">
        <f t="shared" si="1"/>
        <v>#REF!</v>
      </c>
      <c r="CF9" s="2" t="str">
        <f t="shared" si="1"/>
        <v>#REF!</v>
      </c>
      <c r="CG9" s="2" t="str">
        <f t="shared" si="1"/>
        <v>#REF!</v>
      </c>
      <c r="CH9" s="2" t="str">
        <f t="shared" si="1"/>
        <v>#REF!</v>
      </c>
      <c r="CI9" s="2" t="str">
        <f t="shared" si="1"/>
        <v>#REF!</v>
      </c>
      <c r="CJ9" s="2" t="str">
        <f t="shared" si="1"/>
        <v>#REF!</v>
      </c>
      <c r="CK9" s="2" t="str">
        <f t="shared" si="1"/>
        <v>#REF!</v>
      </c>
      <c r="CL9" s="2" t="str">
        <f t="shared" si="1"/>
        <v>#REF!</v>
      </c>
      <c r="CM9" s="2" t="str">
        <f t="shared" si="1"/>
        <v>#REF!</v>
      </c>
      <c r="CN9" s="2" t="str">
        <f t="shared" si="1"/>
        <v>#REF!</v>
      </c>
      <c r="CO9" s="2" t="str">
        <f t="shared" si="1"/>
        <v>#REF!</v>
      </c>
      <c r="CP9" s="2" t="str">
        <f t="shared" si="1"/>
        <v>#REF!</v>
      </c>
      <c r="CQ9" s="2" t="str">
        <f t="shared" si="1"/>
        <v>#REF!</v>
      </c>
      <c r="CR9" s="2" t="str">
        <f t="shared" si="1"/>
        <v>#REF!</v>
      </c>
      <c r="CS9" s="2" t="str">
        <f t="shared" si="1"/>
        <v>#REF!</v>
      </c>
      <c r="CT9" s="2" t="str">
        <f t="shared" si="1"/>
        <v>#REF!</v>
      </c>
      <c r="CU9" s="2" t="str">
        <f t="shared" si="1"/>
        <v>#REF!</v>
      </c>
      <c r="CV9" s="2" t="str">
        <f t="shared" si="1"/>
        <v>#REF!</v>
      </c>
      <c r="CW9" s="2" t="str">
        <f t="shared" si="1"/>
        <v>#REF!</v>
      </c>
      <c r="CX9" s="2" t="str">
        <f t="shared" si="1"/>
        <v>#REF!</v>
      </c>
      <c r="CY9" s="2" t="str">
        <f t="shared" si="1"/>
        <v>#REF!</v>
      </c>
      <c r="CZ9" s="2" t="str">
        <f t="shared" si="1"/>
        <v>#REF!</v>
      </c>
      <c r="DA9" s="2" t="str">
        <f t="shared" si="1"/>
        <v>#REF!</v>
      </c>
      <c r="DB9" s="2" t="str">
        <f t="shared" si="1"/>
        <v>#REF!</v>
      </c>
      <c r="DC9" s="2" t="str">
        <f t="shared" si="1"/>
        <v>#REF!</v>
      </c>
      <c r="DD9" s="2" t="str">
        <f t="shared" si="1"/>
        <v>#REF!</v>
      </c>
      <c r="DE9" s="2" t="str">
        <f t="shared" si="1"/>
        <v>#REF!</v>
      </c>
      <c r="DF9" s="9"/>
      <c r="DG9" s="9"/>
      <c r="DH9" s="10"/>
      <c r="DI9" s="9"/>
      <c r="DJ9" s="9"/>
      <c r="DK9" s="3"/>
      <c r="DL9" s="3"/>
      <c r="DM9" s="3"/>
    </row>
    <row r="10" ht="11.25" hidden="1" customHeight="1">
      <c r="A10" s="1"/>
      <c r="B10" s="2"/>
      <c r="C10" s="3"/>
      <c r="D10" s="3"/>
      <c r="E10" s="3"/>
      <c r="F10" s="4"/>
      <c r="G10" s="4"/>
      <c r="H10" s="4"/>
      <c r="I10" s="5"/>
      <c r="J10" s="4"/>
      <c r="K10" s="4"/>
      <c r="L10" s="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3"/>
      <c r="AL10" s="3"/>
      <c r="AM10" s="3"/>
      <c r="AN10" s="2"/>
      <c r="AO10" s="2" t="str">
        <f>COUNTIF('Danh sách ngày nghỉ trong năm'!$C$6:$C$191,'Bảng chấm công'!AO$30)</f>
        <v>#REF!</v>
      </c>
      <c r="AP10" s="2" t="str">
        <f>COUNTIF('Danh sách ngày nghỉ trong năm'!$C$6:$C$191,'Bảng chấm công'!AP$30)</f>
        <v>#REF!</v>
      </c>
      <c r="AQ10" s="2" t="str">
        <f>COUNTIF('Danh sách ngày nghỉ trong năm'!$C$6:$C$191,'Bảng chấm công'!AQ$30)</f>
        <v>#REF!</v>
      </c>
      <c r="AR10" s="2" t="str">
        <f>COUNTIF('Danh sách ngày nghỉ trong năm'!$C$6:$C$191,'Bảng chấm công'!AR$30)</f>
        <v>#REF!</v>
      </c>
      <c r="AS10" s="2" t="str">
        <f>COUNTIF('Danh sách ngày nghỉ trong năm'!$C$6:$C$191,'Bảng chấm công'!AS$30)</f>
        <v>#REF!</v>
      </c>
      <c r="AT10" s="2" t="str">
        <f>COUNTIF('Danh sách ngày nghỉ trong năm'!$C$6:$C$191,'Bảng chấm công'!AT$30)</f>
        <v>#REF!</v>
      </c>
      <c r="AU10" s="2" t="str">
        <f>COUNTIF('Danh sách ngày nghỉ trong năm'!$C$6:$C$191,'Bảng chấm công'!AU$30)</f>
        <v>#REF!</v>
      </c>
      <c r="AV10" s="2" t="str">
        <f>COUNTIF('Danh sách ngày nghỉ trong năm'!$C$6:$C$191,'Bảng chấm công'!AV$30)</f>
        <v>#REF!</v>
      </c>
      <c r="AW10" s="2" t="str">
        <f>COUNTIF('Danh sách ngày nghỉ trong năm'!$C$6:$C$191,'Bảng chấm công'!AW$30)</f>
        <v>#REF!</v>
      </c>
      <c r="AX10" s="2" t="str">
        <f>COUNTIF('Danh sách ngày nghỉ trong năm'!$C$6:$C$191,'Bảng chấm công'!AX$30)</f>
        <v>#REF!</v>
      </c>
      <c r="AY10" s="2" t="str">
        <f>COUNTIF('Danh sách ngày nghỉ trong năm'!$C$6:$C$191,'Bảng chấm công'!AY$30)</f>
        <v>#REF!</v>
      </c>
      <c r="AZ10" s="2" t="str">
        <f>COUNTIF('Danh sách ngày nghỉ trong năm'!$C$6:$C$191,'Bảng chấm công'!AZ$30)</f>
        <v>#REF!</v>
      </c>
      <c r="BA10" s="2" t="str">
        <f>COUNTIF('Danh sách ngày nghỉ trong năm'!$C$6:$C$191,'Bảng chấm công'!BA$30)</f>
        <v>#REF!</v>
      </c>
      <c r="BB10" s="2" t="str">
        <f>COUNTIF('Danh sách ngày nghỉ trong năm'!$C$6:$C$191,'Bảng chấm công'!BB$30)</f>
        <v>#REF!</v>
      </c>
      <c r="BC10" s="2" t="str">
        <f>COUNTIF('Danh sách ngày nghỉ trong năm'!$C$6:$C$191,'Bảng chấm công'!BC$30)</f>
        <v>#REF!</v>
      </c>
      <c r="BD10" s="2" t="str">
        <f>COUNTIF('Danh sách ngày nghỉ trong năm'!$C$6:$C$191,'Bảng chấm công'!BD$30)</f>
        <v>#REF!</v>
      </c>
      <c r="BE10" s="2" t="str">
        <f>COUNTIF('Danh sách ngày nghỉ trong năm'!$C$6:$C$191,'Bảng chấm công'!BE$30)</f>
        <v>#REF!</v>
      </c>
      <c r="BF10" s="2" t="str">
        <f>COUNTIF('Danh sách ngày nghỉ trong năm'!$C$6:$C$191,'Bảng chấm công'!BF$30)</f>
        <v>#REF!</v>
      </c>
      <c r="BG10" s="2" t="str">
        <f>COUNTIF('Danh sách ngày nghỉ trong năm'!$C$6:$C$191,'Bảng chấm công'!BG$30)</f>
        <v>#REF!</v>
      </c>
      <c r="BH10" s="2" t="str">
        <f>COUNTIF('Danh sách ngày nghỉ trong năm'!$C$6:$C$191,'Bảng chấm công'!BH$30)</f>
        <v>#REF!</v>
      </c>
      <c r="BI10" s="2" t="str">
        <f>COUNTIF('Danh sách ngày nghỉ trong năm'!$C$6:$C$191,'Bảng chấm công'!BI$30)</f>
        <v>#REF!</v>
      </c>
      <c r="BJ10" s="2" t="str">
        <f>COUNTIF('Danh sách ngày nghỉ trong năm'!$C$6:$C$191,'Bảng chấm công'!BJ$30)</f>
        <v>#REF!</v>
      </c>
      <c r="BK10" s="2" t="str">
        <f>COUNTIF('Danh sách ngày nghỉ trong năm'!$C$6:$C$191,'Bảng chấm công'!BK$30)</f>
        <v>#REF!</v>
      </c>
      <c r="BL10" s="2" t="str">
        <f>COUNTIF('Danh sách ngày nghỉ trong năm'!$C$6:$C$191,'Bảng chấm công'!BL$30)</f>
        <v>#REF!</v>
      </c>
      <c r="BM10" s="2" t="str">
        <f>COUNTIF('Danh sách ngày nghỉ trong năm'!$C$6:$C$191,'Bảng chấm công'!BM$30)</f>
        <v>#REF!</v>
      </c>
      <c r="BN10" s="2" t="str">
        <f>COUNTIF('Danh sách ngày nghỉ trong năm'!$C$6:$C$191,'Bảng chấm công'!BN$30)</f>
        <v>#REF!</v>
      </c>
      <c r="BO10" s="2" t="str">
        <f>COUNTIF('Danh sách ngày nghỉ trong năm'!$C$6:$C$191,'Bảng chấm công'!BO$30)</f>
        <v>#REF!</v>
      </c>
      <c r="BP10" s="2" t="str">
        <f>COUNTIF('Danh sách ngày nghỉ trong năm'!$C$6:$C$191,'Bảng chấm công'!BP$30)</f>
        <v>#REF!</v>
      </c>
      <c r="BQ10" s="2" t="str">
        <f>COUNTIF('Danh sách ngày nghỉ trong năm'!$C$6:$C$191,'Bảng chấm công'!BQ$30)</f>
        <v>#REF!</v>
      </c>
      <c r="BR10" s="2" t="str">
        <f>COUNTIF('Danh sách ngày nghỉ trong năm'!$C$6:$C$191,'Bảng chấm công'!BR$30)</f>
        <v>#REF!</v>
      </c>
      <c r="BS10" s="2" t="str">
        <f>COUNTIF('Danh sách ngày nghỉ trong năm'!$C$6:$C$191,'Bảng chấm công'!BS$30)</f>
        <v>#REF!</v>
      </c>
      <c r="BT10" s="8"/>
      <c r="BU10" s="8"/>
      <c r="BV10" s="8"/>
      <c r="BW10" s="8"/>
      <c r="BX10" s="3"/>
      <c r="BY10" s="3"/>
      <c r="BZ10" s="3"/>
      <c r="CA10" s="2" t="str">
        <f>COUNTIF('Danh sách ngày nghỉ trong năm'!$C$6:$C$191,'Bảng chấm công'!CA$30)</f>
        <v>#REF!</v>
      </c>
      <c r="CB10" s="2" t="str">
        <f>COUNTIF('Danh sách ngày nghỉ trong năm'!$C$6:$C$191,'Bảng chấm công'!CB$30)</f>
        <v>#REF!</v>
      </c>
      <c r="CC10" s="2" t="str">
        <f>COUNTIF('Danh sách ngày nghỉ trong năm'!$C$6:$C$191,'Bảng chấm công'!CC$30)</f>
        <v>#REF!</v>
      </c>
      <c r="CD10" s="2" t="str">
        <f>COUNTIF('Danh sách ngày nghỉ trong năm'!$C$6:$C$191,'Bảng chấm công'!CD$30)</f>
        <v>#REF!</v>
      </c>
      <c r="CE10" s="2" t="str">
        <f>COUNTIF('Danh sách ngày nghỉ trong năm'!$C$6:$C$191,'Bảng chấm công'!CE$30)</f>
        <v>#REF!</v>
      </c>
      <c r="CF10" s="2" t="str">
        <f>COUNTIF('Danh sách ngày nghỉ trong năm'!$C$6:$C$191,'Bảng chấm công'!CF$30)</f>
        <v>#REF!</v>
      </c>
      <c r="CG10" s="2" t="str">
        <f>COUNTIF('Danh sách ngày nghỉ trong năm'!$C$6:$C$191,'Bảng chấm công'!CG$30)</f>
        <v>#REF!</v>
      </c>
      <c r="CH10" s="2" t="str">
        <f>COUNTIF('Danh sách ngày nghỉ trong năm'!$C$6:$C$191,'Bảng chấm công'!CH$30)</f>
        <v>#REF!</v>
      </c>
      <c r="CI10" s="2" t="str">
        <f>COUNTIF('Danh sách ngày nghỉ trong năm'!$C$6:$C$191,'Bảng chấm công'!CI$30)</f>
        <v>#REF!</v>
      </c>
      <c r="CJ10" s="2" t="str">
        <f>COUNTIF('Danh sách ngày nghỉ trong năm'!$C$6:$C$191,'Bảng chấm công'!CJ$30)</f>
        <v>#REF!</v>
      </c>
      <c r="CK10" s="2" t="str">
        <f>COUNTIF('Danh sách ngày nghỉ trong năm'!$C$6:$C$191,'Bảng chấm công'!CK$30)</f>
        <v>#REF!</v>
      </c>
      <c r="CL10" s="2" t="str">
        <f>COUNTIF('Danh sách ngày nghỉ trong năm'!$C$6:$C$191,'Bảng chấm công'!CL$30)</f>
        <v>#REF!</v>
      </c>
      <c r="CM10" s="2" t="str">
        <f>COUNTIF('Danh sách ngày nghỉ trong năm'!$C$6:$C$191,'Bảng chấm công'!CM$30)</f>
        <v>#REF!</v>
      </c>
      <c r="CN10" s="2" t="str">
        <f>COUNTIF('Danh sách ngày nghỉ trong năm'!$C$6:$C$191,'Bảng chấm công'!CN$30)</f>
        <v>#REF!</v>
      </c>
      <c r="CO10" s="2" t="str">
        <f>COUNTIF('Danh sách ngày nghỉ trong năm'!$C$6:$C$191,'Bảng chấm công'!CO$30)</f>
        <v>#REF!</v>
      </c>
      <c r="CP10" s="2" t="str">
        <f>COUNTIF('Danh sách ngày nghỉ trong năm'!$C$6:$C$191,'Bảng chấm công'!CP$30)</f>
        <v>#REF!</v>
      </c>
      <c r="CQ10" s="2" t="str">
        <f>COUNTIF('Danh sách ngày nghỉ trong năm'!$C$6:$C$191,'Bảng chấm công'!CQ$30)</f>
        <v>#REF!</v>
      </c>
      <c r="CR10" s="2" t="str">
        <f>COUNTIF('Danh sách ngày nghỉ trong năm'!$C$6:$C$191,'Bảng chấm công'!CR$30)</f>
        <v>#REF!</v>
      </c>
      <c r="CS10" s="2" t="str">
        <f>COUNTIF('Danh sách ngày nghỉ trong năm'!$C$6:$C$191,'Bảng chấm công'!CS$30)</f>
        <v>#REF!</v>
      </c>
      <c r="CT10" s="2" t="str">
        <f>COUNTIF('Danh sách ngày nghỉ trong năm'!$C$6:$C$191,'Bảng chấm công'!CT$30)</f>
        <v>#REF!</v>
      </c>
      <c r="CU10" s="2" t="str">
        <f>COUNTIF('Danh sách ngày nghỉ trong năm'!$C$6:$C$191,'Bảng chấm công'!CU$30)</f>
        <v>#REF!</v>
      </c>
      <c r="CV10" s="2" t="str">
        <f>COUNTIF('Danh sách ngày nghỉ trong năm'!$C$6:$C$191,'Bảng chấm công'!CV$30)</f>
        <v>#REF!</v>
      </c>
      <c r="CW10" s="2" t="str">
        <f>COUNTIF('Danh sách ngày nghỉ trong năm'!$C$6:$C$191,'Bảng chấm công'!CW$30)</f>
        <v>#REF!</v>
      </c>
      <c r="CX10" s="2" t="str">
        <f>COUNTIF('Danh sách ngày nghỉ trong năm'!$C$6:$C$191,'Bảng chấm công'!CX$30)</f>
        <v>#REF!</v>
      </c>
      <c r="CY10" s="2" t="str">
        <f>COUNTIF('Danh sách ngày nghỉ trong năm'!$C$6:$C$191,'Bảng chấm công'!CY$30)</f>
        <v>#REF!</v>
      </c>
      <c r="CZ10" s="2" t="str">
        <f>COUNTIF('Danh sách ngày nghỉ trong năm'!$C$6:$C$191,'Bảng chấm công'!CZ$30)</f>
        <v>#REF!</v>
      </c>
      <c r="DA10" s="2" t="str">
        <f>COUNTIF('Danh sách ngày nghỉ trong năm'!$C$6:$C$191,'Bảng chấm công'!DA$30)</f>
        <v>#REF!</v>
      </c>
      <c r="DB10" s="2" t="str">
        <f>COUNTIF('Danh sách ngày nghỉ trong năm'!$C$6:$C$191,'Bảng chấm công'!DB$30)</f>
        <v>#REF!</v>
      </c>
      <c r="DC10" s="2" t="str">
        <f>COUNTIF('Danh sách ngày nghỉ trong năm'!$C$6:$C$191,'Bảng chấm công'!DC$30)</f>
        <v>#REF!</v>
      </c>
      <c r="DD10" s="2" t="str">
        <f>COUNTIF('Danh sách ngày nghỉ trong năm'!$C$6:$C$191,'Bảng chấm công'!DD$30)</f>
        <v>#REF!</v>
      </c>
      <c r="DE10" s="2" t="str">
        <f>COUNTIF('Danh sách ngày nghỉ trong năm'!$C$6:$C$191,'Bảng chấm công'!DE$30)</f>
        <v>#REF!</v>
      </c>
      <c r="DF10" s="9"/>
      <c r="DG10" s="9"/>
      <c r="DH10" s="10"/>
      <c r="DI10" s="9"/>
      <c r="DJ10" s="9"/>
      <c r="DK10" s="3"/>
      <c r="DL10" s="3"/>
      <c r="DM10" s="3"/>
    </row>
    <row r="11" ht="11.25" hidden="1" customHeight="1">
      <c r="A11" s="23"/>
      <c r="B11" s="24"/>
      <c r="C11" s="25"/>
      <c r="D11" s="25"/>
      <c r="E11" s="25"/>
      <c r="F11" s="26"/>
      <c r="G11" s="26"/>
      <c r="H11" s="26"/>
      <c r="I11" s="27"/>
      <c r="J11" s="26"/>
      <c r="K11" s="26"/>
      <c r="L11" s="28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5"/>
      <c r="AL11" s="25"/>
      <c r="AM11" s="25"/>
      <c r="AN11" s="25"/>
      <c r="AO11" s="26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9"/>
      <c r="BU11" s="29"/>
      <c r="BV11" s="29"/>
      <c r="BW11" s="29"/>
      <c r="BX11" s="25"/>
      <c r="BY11" s="25"/>
      <c r="BZ11" s="25"/>
      <c r="CA11" s="26"/>
      <c r="CB11" s="29"/>
      <c r="CC11" s="29"/>
      <c r="CD11" s="29"/>
      <c r="CE11" s="29"/>
      <c r="CF11" s="29"/>
      <c r="CG11" s="30"/>
      <c r="CH11" s="29"/>
      <c r="CI11" s="29"/>
      <c r="CJ11" s="29"/>
      <c r="CK11" s="29"/>
      <c r="CL11" s="29"/>
      <c r="CM11" s="29"/>
      <c r="CN11" s="29"/>
      <c r="CO11" s="29"/>
      <c r="CP11" s="29"/>
      <c r="CQ11" s="30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30"/>
      <c r="DG11" s="30"/>
      <c r="DH11" s="31"/>
      <c r="DI11" s="30"/>
      <c r="DJ11" s="30"/>
      <c r="DK11" s="25"/>
      <c r="DL11" s="25"/>
      <c r="DM11" s="25"/>
    </row>
    <row r="12" ht="11.25" hidden="1" customHeight="1">
      <c r="A12" s="32"/>
      <c r="B12" s="33"/>
      <c r="C12" s="34"/>
      <c r="D12" s="34"/>
      <c r="E12" s="34"/>
      <c r="F12" s="35"/>
      <c r="G12" s="35"/>
      <c r="H12" s="35"/>
      <c r="I12" s="36"/>
      <c r="J12" s="35"/>
      <c r="K12" s="35"/>
      <c r="L12" s="37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4"/>
      <c r="AL12" s="34"/>
      <c r="AM12" s="34"/>
      <c r="AN12" s="34"/>
      <c r="AO12" s="35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8"/>
      <c r="BU12" s="38"/>
      <c r="BV12" s="38"/>
      <c r="BW12" s="38"/>
      <c r="BX12" s="34"/>
      <c r="BY12" s="34"/>
      <c r="BZ12" s="34"/>
      <c r="CA12" s="35"/>
      <c r="CB12" s="38"/>
      <c r="CC12" s="38"/>
      <c r="CD12" s="38"/>
      <c r="CE12" s="38"/>
      <c r="CF12" s="38"/>
      <c r="CG12" s="39"/>
      <c r="CH12" s="38"/>
      <c r="CI12" s="38"/>
      <c r="CJ12" s="38"/>
      <c r="CK12" s="38"/>
      <c r="CL12" s="38"/>
      <c r="CM12" s="38"/>
      <c r="CN12" s="38"/>
      <c r="CO12" s="38"/>
      <c r="CP12" s="38"/>
      <c r="CQ12" s="39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9"/>
      <c r="DG12" s="39"/>
      <c r="DH12" s="40"/>
      <c r="DI12" s="39"/>
      <c r="DJ12" s="39"/>
      <c r="DK12" s="34"/>
      <c r="DL12" s="34"/>
      <c r="DM12" s="34"/>
    </row>
    <row r="13" ht="11.25" hidden="1" customHeight="1">
      <c r="A13" s="32"/>
      <c r="B13" s="41"/>
      <c r="C13" s="34"/>
      <c r="D13" s="34"/>
      <c r="E13" s="34"/>
      <c r="F13" s="35"/>
      <c r="G13" s="35"/>
      <c r="H13" s="35"/>
      <c r="I13" s="36"/>
      <c r="J13" s="35"/>
      <c r="K13" s="35"/>
      <c r="L13" s="37"/>
      <c r="M13" s="35"/>
      <c r="N13" s="35"/>
      <c r="O13" s="35"/>
      <c r="P13" s="38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4"/>
      <c r="AL13" s="34"/>
      <c r="AM13" s="34"/>
      <c r="AN13" s="34"/>
      <c r="AO13" s="41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8"/>
      <c r="BU13" s="38"/>
      <c r="BV13" s="38"/>
      <c r="BW13" s="38"/>
      <c r="BX13" s="34"/>
      <c r="BY13" s="41"/>
      <c r="BZ13" s="34"/>
      <c r="CA13" s="35"/>
      <c r="CB13" s="38"/>
      <c r="CC13" s="38"/>
      <c r="CD13" s="38"/>
      <c r="CE13" s="38"/>
      <c r="CF13" s="38"/>
      <c r="CG13" s="39"/>
      <c r="CH13" s="38"/>
      <c r="CI13" s="38"/>
      <c r="CJ13" s="38"/>
      <c r="CK13" s="38"/>
      <c r="CL13" s="38"/>
      <c r="CM13" s="38"/>
      <c r="CN13" s="38"/>
      <c r="CO13" s="38"/>
      <c r="CP13" s="38"/>
      <c r="CQ13" s="39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9"/>
      <c r="DG13" s="39"/>
      <c r="DH13" s="40"/>
      <c r="DI13" s="39"/>
      <c r="DJ13" s="39"/>
      <c r="DK13" s="34"/>
      <c r="DL13" s="34"/>
      <c r="DM13" s="34"/>
    </row>
    <row r="14" ht="11.25" hidden="1" customHeight="1">
      <c r="A14" s="32"/>
      <c r="B14" s="42"/>
      <c r="C14" s="34"/>
      <c r="D14" s="34"/>
      <c r="E14" s="34"/>
      <c r="F14" s="35"/>
      <c r="G14" s="35"/>
      <c r="H14" s="35"/>
      <c r="I14" s="36"/>
      <c r="J14" s="35"/>
      <c r="K14" s="35"/>
      <c r="L14" s="37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4"/>
      <c r="AL14" s="34"/>
      <c r="AM14" s="34"/>
      <c r="AN14" s="43">
        <v>9.0</v>
      </c>
      <c r="AO14" s="42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8"/>
      <c r="BU14" s="38"/>
      <c r="BV14" s="38"/>
      <c r="BW14" s="38"/>
      <c r="BX14" s="34"/>
      <c r="BY14" s="42"/>
      <c r="BZ14" s="34"/>
      <c r="CA14" s="35"/>
      <c r="CB14" s="38"/>
      <c r="CC14" s="38"/>
      <c r="CD14" s="38"/>
      <c r="CE14" s="38"/>
      <c r="CF14" s="38"/>
      <c r="CG14" s="39"/>
      <c r="CH14" s="38"/>
      <c r="CI14" s="38"/>
      <c r="CJ14" s="38"/>
      <c r="CK14" s="38"/>
      <c r="CL14" s="38"/>
      <c r="CM14" s="38"/>
      <c r="CN14" s="38"/>
      <c r="CO14" s="38"/>
      <c r="CP14" s="38"/>
      <c r="CQ14" s="39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9"/>
      <c r="DG14" s="39"/>
      <c r="DH14" s="40"/>
      <c r="DI14" s="39"/>
      <c r="DJ14" s="39"/>
      <c r="DK14" s="34"/>
      <c r="DL14" s="34"/>
      <c r="DM14" s="34"/>
    </row>
    <row r="15" ht="11.25" hidden="1" customHeight="1">
      <c r="A15" s="44"/>
      <c r="B15" s="33"/>
      <c r="C15" s="34"/>
      <c r="D15" s="34"/>
      <c r="E15" s="34"/>
      <c r="F15" s="35"/>
      <c r="G15" s="35"/>
      <c r="H15" s="35"/>
      <c r="I15" s="36"/>
      <c r="J15" s="35"/>
      <c r="K15" s="35"/>
      <c r="L15" s="37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4"/>
      <c r="AL15" s="34"/>
      <c r="AM15" s="34"/>
      <c r="AN15" s="15" t="s">
        <v>5</v>
      </c>
      <c r="AO15" s="35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8"/>
      <c r="BU15" s="38"/>
      <c r="BV15" s="38"/>
      <c r="BW15" s="38"/>
      <c r="BX15" s="34"/>
      <c r="BY15" s="34"/>
      <c r="BZ15" s="34"/>
      <c r="CA15" s="35"/>
      <c r="CB15" s="38"/>
      <c r="CC15" s="38"/>
      <c r="CD15" s="38"/>
      <c r="CE15" s="38"/>
      <c r="CF15" s="38"/>
      <c r="CG15" s="39"/>
      <c r="CH15" s="38"/>
      <c r="CI15" s="38"/>
      <c r="CJ15" s="38"/>
      <c r="CK15" s="38"/>
      <c r="CL15" s="38"/>
      <c r="CM15" s="38"/>
      <c r="CN15" s="38"/>
      <c r="CO15" s="38"/>
      <c r="CP15" s="38"/>
      <c r="CQ15" s="39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9"/>
      <c r="DG15" s="39"/>
      <c r="DH15" s="40"/>
      <c r="DI15" s="39"/>
      <c r="DJ15" s="39"/>
      <c r="DK15" s="34"/>
      <c r="DL15" s="34"/>
      <c r="DM15" s="34"/>
    </row>
    <row r="16" ht="11.25" hidden="1" customHeight="1">
      <c r="A16" s="45"/>
      <c r="B16" s="46"/>
      <c r="C16" s="47"/>
      <c r="D16" s="47"/>
      <c r="E16" s="47"/>
      <c r="F16" s="48"/>
      <c r="G16" s="49"/>
      <c r="H16" s="49"/>
      <c r="I16" s="50"/>
      <c r="J16" s="49"/>
      <c r="K16" s="49"/>
      <c r="L16" s="51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8"/>
      <c r="AC16" s="8"/>
      <c r="AD16" s="8"/>
      <c r="AE16" s="8"/>
      <c r="AF16" s="8"/>
      <c r="AG16" s="8"/>
      <c r="AH16" s="8"/>
      <c r="AI16" s="8"/>
      <c r="AJ16" s="8"/>
      <c r="AK16" s="2"/>
      <c r="AL16" s="3"/>
      <c r="AM16" s="4"/>
      <c r="AN16" s="52" t="s">
        <v>6</v>
      </c>
      <c r="AO16" s="53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3"/>
      <c r="BY16" s="3"/>
      <c r="BZ16" s="3"/>
      <c r="CA16" s="8"/>
      <c r="CB16" s="8"/>
      <c r="CC16" s="8"/>
      <c r="CD16" s="8"/>
      <c r="CE16" s="8"/>
      <c r="CF16" s="8"/>
      <c r="CG16" s="9"/>
      <c r="CH16" s="8"/>
      <c r="CI16" s="8"/>
      <c r="CJ16" s="8"/>
      <c r="CK16" s="8"/>
      <c r="CL16" s="8"/>
      <c r="CM16" s="8"/>
      <c r="CN16" s="8"/>
      <c r="CO16" s="8"/>
      <c r="CP16" s="8"/>
      <c r="CQ16" s="9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9"/>
      <c r="DG16" s="9"/>
      <c r="DH16" s="10"/>
      <c r="DI16" s="9"/>
      <c r="DJ16" s="9"/>
      <c r="DK16" s="3"/>
      <c r="DL16" s="3"/>
      <c r="DM16" s="3"/>
    </row>
    <row r="17" ht="11.25" hidden="1" customHeight="1">
      <c r="A17" s="55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4"/>
      <c r="AN17" s="52" t="s">
        <v>7</v>
      </c>
      <c r="AO17" s="53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54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  <c r="DK17" s="56"/>
      <c r="DL17" s="56"/>
      <c r="DM17" s="56"/>
    </row>
    <row r="18" ht="11.25" hidden="1" customHeight="1">
      <c r="A18" s="57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9"/>
      <c r="AN18" s="60" t="s">
        <v>12</v>
      </c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59"/>
      <c r="CV18" s="59"/>
      <c r="CW18" s="59"/>
      <c r="CX18" s="59"/>
      <c r="CY18" s="59"/>
      <c r="CZ18" s="59"/>
      <c r="DA18" s="59"/>
      <c r="DB18" s="59"/>
      <c r="DC18" s="59"/>
      <c r="DD18" s="59"/>
      <c r="DE18" s="59"/>
      <c r="DF18" s="59"/>
      <c r="DG18" s="59"/>
      <c r="DH18" s="59"/>
      <c r="DI18" s="59"/>
      <c r="DJ18" s="59"/>
      <c r="DK18" s="58"/>
      <c r="DL18" s="58"/>
      <c r="DM18" s="58"/>
    </row>
    <row r="19" ht="11.25" hidden="1" customHeight="1">
      <c r="A19" s="61"/>
      <c r="B19" s="41"/>
      <c r="C19" s="59"/>
      <c r="D19" s="59"/>
      <c r="E19" s="59"/>
      <c r="F19" s="59"/>
      <c r="G19" s="59"/>
      <c r="H19" s="59"/>
      <c r="I19" s="59"/>
      <c r="J19" s="62"/>
      <c r="K19" s="62"/>
      <c r="L19" s="62"/>
      <c r="M19" s="62"/>
      <c r="N19" s="62"/>
      <c r="O19" s="62"/>
      <c r="P19" s="62"/>
      <c r="Q19" s="62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8"/>
      <c r="AM19" s="59"/>
      <c r="AN19" s="63"/>
      <c r="AO19" s="64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9"/>
      <c r="BY19" s="42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59"/>
      <c r="DA19" s="59"/>
      <c r="DB19" s="59"/>
      <c r="DC19" s="59"/>
      <c r="DD19" s="59"/>
      <c r="DE19" s="59"/>
      <c r="DF19" s="59"/>
      <c r="DG19" s="59"/>
      <c r="DH19" s="59"/>
      <c r="DI19" s="59"/>
      <c r="DJ19" s="59"/>
      <c r="DK19" s="58"/>
      <c r="DL19" s="58"/>
      <c r="DM19" s="58"/>
    </row>
    <row r="20" ht="11.25" hidden="1" customHeight="1">
      <c r="A20" s="56"/>
      <c r="B20" s="64"/>
      <c r="C20" s="64" t="s">
        <v>16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64" t="s">
        <v>16</v>
      </c>
      <c r="AN20" s="63"/>
      <c r="AO20" s="64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4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8"/>
      <c r="BY20" s="64" t="str">
        <f t="shared" ref="BY20:BY21" si="2">+C20</f>
        <v>CÔNG TY TNHH TƯ VẤN CÔNG TRÌNH XANH GREENVIET
</v>
      </c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6"/>
      <c r="CM20" s="58"/>
      <c r="CN20" s="58"/>
      <c r="CO20" s="58"/>
      <c r="CP20" s="58"/>
      <c r="CQ20" s="59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</row>
    <row r="21" ht="11.25" hidden="1" customHeight="1">
      <c r="A21" s="59"/>
      <c r="B21" s="64"/>
      <c r="C21" s="64" t="s">
        <v>17</v>
      </c>
      <c r="D21" s="2"/>
      <c r="E21" s="2"/>
      <c r="F21" s="8"/>
      <c r="G21" s="8"/>
      <c r="H21" s="8"/>
      <c r="I21" s="9"/>
      <c r="J21" s="4"/>
      <c r="K21" s="8"/>
      <c r="L21" s="6"/>
      <c r="M21" s="4"/>
      <c r="N21" s="4"/>
      <c r="O21" s="4"/>
      <c r="P21" s="4"/>
      <c r="Q21" s="4"/>
      <c r="R21" s="4"/>
      <c r="S21" s="4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2"/>
      <c r="AL21" s="3"/>
      <c r="AM21" s="64" t="s">
        <v>17</v>
      </c>
      <c r="AN21" s="2"/>
      <c r="AO21" s="65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3"/>
      <c r="BY21" s="64" t="str">
        <f t="shared" si="2"/>
        <v>Địa chỉ: Số 19, Đường 46, Phường Thảo Điền, TP Thủ Đức, TP.HCM</v>
      </c>
      <c r="BZ21" s="3"/>
      <c r="CA21" s="8"/>
      <c r="CB21" s="8"/>
      <c r="CC21" s="8"/>
      <c r="CD21" s="8"/>
      <c r="CE21" s="8"/>
      <c r="CF21" s="8"/>
      <c r="CG21" s="9"/>
      <c r="CH21" s="8"/>
      <c r="CI21" s="8"/>
      <c r="CJ21" s="8"/>
      <c r="CK21" s="8"/>
      <c r="CL21" s="8"/>
      <c r="CM21" s="8"/>
      <c r="CN21" s="8"/>
      <c r="CO21" s="8"/>
      <c r="CP21" s="8"/>
      <c r="CQ21" s="66"/>
      <c r="CR21" s="8"/>
      <c r="CS21" s="8"/>
      <c r="CT21" s="8"/>
      <c r="CU21" s="67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9"/>
      <c r="DG21" s="9"/>
      <c r="DH21" s="10"/>
      <c r="DI21" s="9"/>
      <c r="DJ21" s="9"/>
      <c r="DK21" s="3"/>
      <c r="DL21" s="3"/>
      <c r="DM21" s="3"/>
    </row>
    <row r="22" ht="11.25" customHeight="1">
      <c r="A22" s="58"/>
      <c r="B22" s="64"/>
      <c r="C22" s="64" t="s">
        <v>18</v>
      </c>
      <c r="D22" s="3"/>
      <c r="E22" s="3"/>
      <c r="F22" s="4"/>
      <c r="G22" s="4"/>
      <c r="H22" s="4"/>
      <c r="I22" s="5"/>
      <c r="J22" s="4"/>
      <c r="K22" s="4"/>
      <c r="L22" s="6"/>
      <c r="M22" s="4"/>
      <c r="N22" s="4"/>
      <c r="O22" s="54" t="s">
        <v>19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3"/>
      <c r="AL22" s="3"/>
      <c r="AM22" s="64"/>
      <c r="AN22" s="2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4" t="s">
        <v>20</v>
      </c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49"/>
      <c r="BV22" s="59"/>
      <c r="BW22" s="59"/>
      <c r="BX22" s="3"/>
      <c r="BY22" s="64"/>
      <c r="BZ22" s="3"/>
      <c r="CA22" s="8"/>
      <c r="CB22" s="8"/>
      <c r="CC22" s="8"/>
      <c r="CD22" s="8"/>
      <c r="CE22" s="8"/>
      <c r="CF22" s="8"/>
      <c r="CG22" s="9"/>
      <c r="CH22" s="8"/>
      <c r="CI22" s="8"/>
      <c r="CJ22" s="8"/>
      <c r="CK22" s="8"/>
      <c r="CL22" s="8"/>
      <c r="CM22" s="8"/>
      <c r="CN22" s="8"/>
      <c r="CO22" s="8"/>
      <c r="CP22" s="8"/>
      <c r="CQ22" s="59" t="s">
        <v>21</v>
      </c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9"/>
      <c r="DG22" s="9"/>
      <c r="DH22" s="10"/>
      <c r="DI22" s="9"/>
      <c r="DJ22" s="9"/>
      <c r="DK22" s="3"/>
      <c r="DL22" s="3"/>
      <c r="DM22" s="3"/>
    </row>
    <row r="23" ht="11.25" customHeight="1">
      <c r="A23" s="58"/>
      <c r="B23" s="2"/>
      <c r="C23" s="3"/>
      <c r="D23" s="3"/>
      <c r="E23" s="3"/>
      <c r="F23" s="4"/>
      <c r="G23" s="4"/>
      <c r="H23" s="4"/>
      <c r="I23" s="5"/>
      <c r="J23" s="4"/>
      <c r="K23" s="4"/>
      <c r="L23" s="6"/>
      <c r="M23" s="4"/>
      <c r="N23" s="4"/>
      <c r="O23" s="67" t="str">
        <f>"Tháng: "&amp;TEXT('Bảng chấm công'!Thang,"00")&amp;"/"&amp;#REF!</f>
        <v>#REF!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3"/>
      <c r="AL23" s="3"/>
      <c r="AM23" s="3"/>
      <c r="AN23" s="2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 t="str">
        <f>"Tháng: "&amp;TEXT('Bảng chấm công'!Thang,"00")&amp;"/"&amp;#REF!</f>
        <v>#REF!</v>
      </c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49"/>
      <c r="BV23" s="59"/>
      <c r="BW23" s="59"/>
      <c r="BX23" s="3"/>
      <c r="BY23" s="3"/>
      <c r="BZ23" s="3"/>
      <c r="CA23" s="8"/>
      <c r="CB23" s="8"/>
      <c r="CC23" s="8"/>
      <c r="CD23" s="8"/>
      <c r="CE23" s="8"/>
      <c r="CF23" s="8"/>
      <c r="CG23" s="9"/>
      <c r="CH23" s="8"/>
      <c r="CI23" s="8"/>
      <c r="CJ23" s="8"/>
      <c r="CK23" s="8"/>
      <c r="CL23" s="8"/>
      <c r="CM23" s="8"/>
      <c r="CN23" s="8"/>
      <c r="CO23" s="8"/>
      <c r="CP23" s="8"/>
      <c r="CQ23" s="66" t="str">
        <f>"Tháng: "&amp;TEXT('Bảng chấm công'!Thang,"00")&amp;"/"&amp;#REF!</f>
        <v>#REF!</v>
      </c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9"/>
      <c r="DG23" s="9"/>
      <c r="DH23" s="10"/>
      <c r="DI23" s="9"/>
      <c r="DJ23" s="9"/>
      <c r="DK23" s="3"/>
      <c r="DL23" s="3"/>
      <c r="DM23" s="3"/>
    </row>
    <row r="24" ht="11.25" customHeight="1">
      <c r="A24" s="58"/>
      <c r="B24" s="2"/>
      <c r="C24" s="3"/>
      <c r="D24" s="3"/>
      <c r="E24" s="3"/>
      <c r="F24" s="4"/>
      <c r="G24" s="4"/>
      <c r="H24" s="4"/>
      <c r="I24" s="5"/>
      <c r="J24" s="4"/>
      <c r="K24" s="4"/>
      <c r="L24" s="6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3"/>
      <c r="AL24" s="3"/>
      <c r="AM24" s="3"/>
      <c r="AN24" s="2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49"/>
      <c r="BV24" s="59"/>
      <c r="BW24" s="59"/>
      <c r="BX24" s="3"/>
      <c r="BY24" s="3"/>
      <c r="BZ24" s="3"/>
      <c r="CA24" s="8"/>
      <c r="CB24" s="8"/>
      <c r="CC24" s="8"/>
      <c r="CD24" s="8"/>
      <c r="CE24" s="8"/>
      <c r="CF24" s="8"/>
      <c r="CG24" s="9"/>
      <c r="CH24" s="8"/>
      <c r="CI24" s="8"/>
      <c r="CJ24" s="8"/>
      <c r="CK24" s="8"/>
      <c r="CL24" s="8"/>
      <c r="CM24" s="8"/>
      <c r="CN24" s="8"/>
      <c r="CO24" s="8"/>
      <c r="CP24" s="8"/>
      <c r="CQ24" s="9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9"/>
      <c r="DG24" s="9"/>
      <c r="DH24" s="10"/>
      <c r="DI24" s="9"/>
      <c r="DJ24" s="9"/>
      <c r="DK24" s="3"/>
      <c r="DL24" s="3"/>
      <c r="DM24" s="3"/>
    </row>
    <row r="25" ht="11.25" hidden="1" customHeight="1">
      <c r="A25" s="3"/>
      <c r="B25" s="2"/>
      <c r="C25" s="3"/>
      <c r="D25" s="2"/>
      <c r="E25" s="3"/>
      <c r="F25" s="2"/>
      <c r="G25" s="3"/>
      <c r="H25" s="2"/>
      <c r="I25" s="3"/>
      <c r="J25" s="2"/>
      <c r="K25" s="3"/>
      <c r="L25" s="2"/>
      <c r="M25" s="3"/>
      <c r="N25" s="2"/>
      <c r="O25" s="3"/>
      <c r="P25" s="2"/>
      <c r="Q25" s="3"/>
      <c r="R25" s="2"/>
      <c r="S25" s="3"/>
      <c r="T25" s="2"/>
      <c r="U25" s="3"/>
      <c r="V25" s="2"/>
      <c r="W25" s="3"/>
      <c r="X25" s="2"/>
      <c r="Y25" s="3"/>
      <c r="Z25" s="2"/>
      <c r="AA25" s="3"/>
      <c r="AB25" s="2"/>
      <c r="AC25" s="3"/>
      <c r="AD25" s="2"/>
      <c r="AE25" s="4"/>
      <c r="AF25" s="4"/>
      <c r="AG25" s="4"/>
      <c r="AH25" s="3"/>
      <c r="AI25" s="2"/>
      <c r="AJ25" s="3"/>
      <c r="AK25" s="2"/>
      <c r="AL25" s="3"/>
      <c r="AM25" s="2"/>
      <c r="AN25" s="3"/>
      <c r="AO25" s="2"/>
      <c r="AP25" s="3"/>
      <c r="AQ25" s="2"/>
      <c r="AR25" s="3"/>
      <c r="AS25" s="2"/>
      <c r="AT25" s="3"/>
      <c r="AU25" s="2"/>
      <c r="AV25" s="3"/>
      <c r="AW25" s="2"/>
      <c r="AX25" s="3"/>
      <c r="AY25" s="2"/>
      <c r="AZ25" s="3"/>
      <c r="BA25" s="2"/>
      <c r="BB25" s="3"/>
      <c r="BC25" s="2"/>
      <c r="BD25" s="3"/>
      <c r="BE25" s="2"/>
      <c r="BF25" s="3"/>
      <c r="BG25" s="2"/>
      <c r="BH25" s="3"/>
      <c r="BI25" s="2"/>
      <c r="BJ25" s="59"/>
      <c r="BK25" s="59"/>
      <c r="BL25" s="59"/>
      <c r="BM25" s="59"/>
      <c r="BN25" s="59"/>
      <c r="BO25" s="59"/>
      <c r="BP25" s="59"/>
      <c r="BQ25" s="59"/>
      <c r="BR25" s="59"/>
      <c r="BS25" s="2"/>
      <c r="BT25" s="3"/>
      <c r="BU25" s="2"/>
      <c r="BV25" s="3"/>
      <c r="BW25" s="8"/>
      <c r="BX25" s="3"/>
      <c r="BY25" s="3"/>
      <c r="BZ25" s="3"/>
      <c r="CA25" s="8"/>
      <c r="CB25" s="8"/>
      <c r="CC25" s="8"/>
      <c r="CD25" s="8"/>
      <c r="CE25" s="8"/>
      <c r="CF25" s="8"/>
      <c r="CG25" s="9"/>
      <c r="CH25" s="8"/>
      <c r="CI25" s="8"/>
      <c r="CJ25" s="8"/>
      <c r="CK25" s="8"/>
      <c r="CL25" s="8"/>
      <c r="CM25" s="8"/>
      <c r="CN25" s="8"/>
      <c r="CO25" s="8"/>
      <c r="CP25" s="8"/>
      <c r="CQ25" s="9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9"/>
      <c r="DG25" s="9"/>
      <c r="DH25" s="10"/>
      <c r="DI25" s="9"/>
      <c r="DJ25" s="9"/>
      <c r="DK25" s="3"/>
      <c r="DL25" s="3"/>
      <c r="DM25" s="3"/>
    </row>
    <row r="26" ht="11.25" hidden="1" customHeight="1">
      <c r="A26" s="58"/>
      <c r="B26" s="2"/>
      <c r="C26" s="3"/>
      <c r="D26" s="3"/>
      <c r="E26" s="68"/>
      <c r="F26" s="69"/>
      <c r="G26" s="69"/>
      <c r="H26" s="69"/>
      <c r="I26" s="5"/>
      <c r="J26" s="4"/>
      <c r="K26" s="4"/>
      <c r="L26" s="6"/>
      <c r="M26" s="4"/>
      <c r="N26" s="4"/>
      <c r="O26" s="4"/>
      <c r="P26" s="4"/>
      <c r="Q26" s="4"/>
      <c r="R26" s="4"/>
      <c r="S26" s="4"/>
      <c r="T26" s="70"/>
      <c r="U26" s="70"/>
      <c r="V26" s="70"/>
      <c r="W26" s="70"/>
      <c r="X26" s="70"/>
      <c r="Y26" s="70"/>
      <c r="Z26" s="4"/>
      <c r="AA26" s="4"/>
      <c r="AB26" s="4"/>
      <c r="AC26" s="4"/>
      <c r="AD26" s="4"/>
      <c r="AE26" s="4"/>
      <c r="AF26" s="4"/>
      <c r="AG26" s="4"/>
      <c r="AH26" s="70"/>
      <c r="AI26" s="70"/>
      <c r="AJ26" s="70"/>
      <c r="AK26" s="3"/>
      <c r="AL26" s="3"/>
      <c r="AM26" s="3"/>
      <c r="AN26" s="2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3"/>
      <c r="BY26" s="3"/>
      <c r="BZ26" s="3"/>
      <c r="CA26" s="8"/>
      <c r="CB26" s="8"/>
      <c r="CC26" s="8"/>
      <c r="CD26" s="8"/>
      <c r="CE26" s="8"/>
      <c r="CF26" s="8"/>
      <c r="CG26" s="9"/>
      <c r="CH26" s="8"/>
      <c r="CI26" s="8"/>
      <c r="CJ26" s="8"/>
      <c r="CK26" s="8"/>
      <c r="CL26" s="8"/>
      <c r="CM26" s="8"/>
      <c r="CN26" s="8"/>
      <c r="CO26" s="8"/>
      <c r="CP26" s="8"/>
      <c r="CQ26" s="9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9"/>
      <c r="DG26" s="9"/>
      <c r="DH26" s="10"/>
      <c r="DI26" s="9"/>
      <c r="DJ26" s="9"/>
      <c r="DK26" s="3"/>
      <c r="DL26" s="3"/>
      <c r="DM26" s="3"/>
    </row>
    <row r="27" ht="11.25" customHeight="1">
      <c r="A27" s="71" t="s">
        <v>22</v>
      </c>
      <c r="B27" s="72"/>
      <c r="C27" s="72"/>
      <c r="D27" s="72" t="s">
        <v>23</v>
      </c>
      <c r="E27" s="73" t="s">
        <v>24</v>
      </c>
      <c r="F27" s="74"/>
      <c r="G27" s="75"/>
      <c r="H27" s="76"/>
      <c r="I27" s="77" t="s">
        <v>25</v>
      </c>
      <c r="J27" s="78"/>
      <c r="K27" s="78"/>
      <c r="L27" s="78"/>
      <c r="M27" s="78"/>
      <c r="N27" s="78"/>
      <c r="O27" s="78"/>
      <c r="P27" s="78"/>
      <c r="Q27" s="78"/>
      <c r="R27" s="78"/>
      <c r="S27" s="79"/>
      <c r="T27" s="80" t="s">
        <v>26</v>
      </c>
      <c r="U27" s="81"/>
      <c r="V27" s="81"/>
      <c r="W27" s="81"/>
      <c r="X27" s="81"/>
      <c r="Y27" s="81"/>
      <c r="Z27" s="82"/>
      <c r="AA27" s="83" t="s">
        <v>27</v>
      </c>
      <c r="AB27" s="82"/>
      <c r="AC27" s="84" t="s">
        <v>28</v>
      </c>
      <c r="AD27" s="81"/>
      <c r="AE27" s="81"/>
      <c r="AF27" s="81"/>
      <c r="AG27" s="82"/>
      <c r="AH27" s="85" t="s">
        <v>29</v>
      </c>
      <c r="AI27" s="81"/>
      <c r="AJ27" s="82"/>
      <c r="AK27" s="86"/>
      <c r="AL27" s="71" t="s">
        <v>22</v>
      </c>
      <c r="AM27" s="72"/>
      <c r="AN27" s="72" t="s">
        <v>23</v>
      </c>
      <c r="AO27" s="87" t="str">
        <f t="shared" ref="AO27:BS27" si="3">IF(AO30="","",IF(WEEKDAY(AO30)=1,"CN","T"&amp;WEEKDAY(AO30)))</f>
        <v>#REF!</v>
      </c>
      <c r="AP27" s="87" t="str">
        <f t="shared" si="3"/>
        <v/>
      </c>
      <c r="AQ27" s="87" t="str">
        <f t="shared" si="3"/>
        <v>CN</v>
      </c>
      <c r="AR27" s="87" t="str">
        <f t="shared" si="3"/>
        <v/>
      </c>
      <c r="AS27" s="87" t="str">
        <f t="shared" si="3"/>
        <v>CN</v>
      </c>
      <c r="AT27" s="87" t="str">
        <f t="shared" si="3"/>
        <v/>
      </c>
      <c r="AU27" s="87" t="str">
        <f t="shared" si="3"/>
        <v>CN</v>
      </c>
      <c r="AV27" s="87" t="str">
        <f t="shared" si="3"/>
        <v/>
      </c>
      <c r="AW27" s="72" t="str">
        <f t="shared" si="3"/>
        <v>CN</v>
      </c>
      <c r="AX27" s="72" t="str">
        <f t="shared" si="3"/>
        <v/>
      </c>
      <c r="AY27" s="87" t="str">
        <f t="shared" si="3"/>
        <v>CN</v>
      </c>
      <c r="AZ27" s="87" t="str">
        <f t="shared" si="3"/>
        <v/>
      </c>
      <c r="BA27" s="72" t="str">
        <f t="shared" si="3"/>
        <v>CN</v>
      </c>
      <c r="BB27" s="87" t="str">
        <f t="shared" si="3"/>
        <v/>
      </c>
      <c r="BC27" s="72" t="str">
        <f t="shared" si="3"/>
        <v>CN</v>
      </c>
      <c r="BD27" s="87" t="str">
        <f t="shared" si="3"/>
        <v/>
      </c>
      <c r="BE27" s="87" t="str">
        <f t="shared" si="3"/>
        <v>CN</v>
      </c>
      <c r="BF27" s="87" t="str">
        <f t="shared" si="3"/>
        <v/>
      </c>
      <c r="BG27" s="87" t="str">
        <f t="shared" si="3"/>
        <v>CN</v>
      </c>
      <c r="BH27" s="87" t="str">
        <f t="shared" si="3"/>
        <v/>
      </c>
      <c r="BI27" s="87" t="str">
        <f t="shared" si="3"/>
        <v>CN</v>
      </c>
      <c r="BJ27" s="87" t="str">
        <f t="shared" si="3"/>
        <v/>
      </c>
      <c r="BK27" s="87" t="str">
        <f t="shared" si="3"/>
        <v>CN</v>
      </c>
      <c r="BL27" s="87" t="str">
        <f t="shared" si="3"/>
        <v/>
      </c>
      <c r="BM27" s="87" t="str">
        <f t="shared" si="3"/>
        <v>CN</v>
      </c>
      <c r="BN27" s="87" t="str">
        <f t="shared" si="3"/>
        <v/>
      </c>
      <c r="BO27" s="87" t="str">
        <f t="shared" si="3"/>
        <v>CN</v>
      </c>
      <c r="BP27" s="87" t="str">
        <f t="shared" si="3"/>
        <v/>
      </c>
      <c r="BQ27" s="72" t="str">
        <f t="shared" si="3"/>
        <v>CN</v>
      </c>
      <c r="BR27" s="87" t="str">
        <f t="shared" si="3"/>
        <v/>
      </c>
      <c r="BS27" s="88" t="str">
        <f t="shared" si="3"/>
        <v>CN</v>
      </c>
      <c r="BT27" s="89" t="s">
        <v>30</v>
      </c>
      <c r="BU27" s="90" t="s">
        <v>31</v>
      </c>
      <c r="BV27" s="91" t="s">
        <v>32</v>
      </c>
      <c r="BW27" s="92"/>
      <c r="BX27" s="93" t="s">
        <v>22</v>
      </c>
      <c r="BY27" s="87"/>
      <c r="BZ27" s="87" t="s">
        <v>23</v>
      </c>
      <c r="CA27" s="87" t="str">
        <f t="shared" ref="CA27:DE27" si="4">IF(CA30="","",IF(WEEKDAY(CA30)=1,"CN","T"&amp;WEEKDAY(CA30)))</f>
        <v>#REF!</v>
      </c>
      <c r="CB27" s="87" t="str">
        <f t="shared" si="4"/>
        <v/>
      </c>
      <c r="CC27" s="87" t="str">
        <f t="shared" si="4"/>
        <v>CN</v>
      </c>
      <c r="CD27" s="87" t="str">
        <f t="shared" si="4"/>
        <v/>
      </c>
      <c r="CE27" s="87" t="str">
        <f t="shared" si="4"/>
        <v>CN</v>
      </c>
      <c r="CF27" s="87" t="str">
        <f t="shared" si="4"/>
        <v/>
      </c>
      <c r="CG27" s="87" t="str">
        <f t="shared" si="4"/>
        <v>CN</v>
      </c>
      <c r="CH27" s="87" t="str">
        <f t="shared" si="4"/>
        <v/>
      </c>
      <c r="CI27" s="87" t="str">
        <f t="shared" si="4"/>
        <v>CN</v>
      </c>
      <c r="CJ27" s="87" t="str">
        <f t="shared" si="4"/>
        <v/>
      </c>
      <c r="CK27" s="87" t="str">
        <f t="shared" si="4"/>
        <v>CN</v>
      </c>
      <c r="CL27" s="87" t="str">
        <f t="shared" si="4"/>
        <v/>
      </c>
      <c r="CM27" s="87" t="str">
        <f t="shared" si="4"/>
        <v>CN</v>
      </c>
      <c r="CN27" s="87" t="str">
        <f t="shared" si="4"/>
        <v/>
      </c>
      <c r="CO27" s="87" t="str">
        <f t="shared" si="4"/>
        <v>CN</v>
      </c>
      <c r="CP27" s="87" t="str">
        <f t="shared" si="4"/>
        <v/>
      </c>
      <c r="CQ27" s="87" t="str">
        <f t="shared" si="4"/>
        <v>CN</v>
      </c>
      <c r="CR27" s="87" t="str">
        <f t="shared" si="4"/>
        <v/>
      </c>
      <c r="CS27" s="87" t="str">
        <f t="shared" si="4"/>
        <v>CN</v>
      </c>
      <c r="CT27" s="87" t="str">
        <f t="shared" si="4"/>
        <v/>
      </c>
      <c r="CU27" s="87" t="str">
        <f t="shared" si="4"/>
        <v>CN</v>
      </c>
      <c r="CV27" s="87" t="str">
        <f t="shared" si="4"/>
        <v/>
      </c>
      <c r="CW27" s="87" t="str">
        <f t="shared" si="4"/>
        <v>CN</v>
      </c>
      <c r="CX27" s="87" t="str">
        <f t="shared" si="4"/>
        <v/>
      </c>
      <c r="CY27" s="87" t="str">
        <f t="shared" si="4"/>
        <v>CN</v>
      </c>
      <c r="CZ27" s="87" t="str">
        <f t="shared" si="4"/>
        <v/>
      </c>
      <c r="DA27" s="87" t="str">
        <f t="shared" si="4"/>
        <v>CN</v>
      </c>
      <c r="DB27" s="87" t="str">
        <f t="shared" si="4"/>
        <v/>
      </c>
      <c r="DC27" s="87" t="str">
        <f t="shared" si="4"/>
        <v>CN</v>
      </c>
      <c r="DD27" s="87" t="str">
        <f t="shared" si="4"/>
        <v/>
      </c>
      <c r="DE27" s="87" t="str">
        <f t="shared" si="4"/>
        <v>CN</v>
      </c>
      <c r="DF27" s="94" t="s">
        <v>30</v>
      </c>
      <c r="DG27" s="94" t="s">
        <v>31</v>
      </c>
      <c r="DH27" s="95" t="s">
        <v>33</v>
      </c>
      <c r="DI27" s="96" t="s">
        <v>34</v>
      </c>
      <c r="DJ27" s="96" t="s">
        <v>34</v>
      </c>
      <c r="DK27" s="97" t="s">
        <v>35</v>
      </c>
      <c r="DL27" s="98"/>
      <c r="DM27" s="99"/>
    </row>
    <row r="28" ht="11.25" customHeight="1">
      <c r="A28" s="100" t="s">
        <v>36</v>
      </c>
      <c r="B28" s="101"/>
      <c r="C28" s="101" t="s">
        <v>37</v>
      </c>
      <c r="D28" s="101" t="s">
        <v>38</v>
      </c>
      <c r="E28" s="102"/>
      <c r="F28" s="103" t="s">
        <v>39</v>
      </c>
      <c r="G28" s="104"/>
      <c r="H28" s="105"/>
      <c r="I28" s="106" t="s">
        <v>40</v>
      </c>
      <c r="J28" s="104"/>
      <c r="K28" s="105"/>
      <c r="L28" s="107" t="s">
        <v>41</v>
      </c>
      <c r="M28" s="108"/>
      <c r="N28" s="109" t="s">
        <v>42</v>
      </c>
      <c r="O28" s="109" t="s">
        <v>43</v>
      </c>
      <c r="P28" s="110" t="s">
        <v>44</v>
      </c>
      <c r="Q28" s="104"/>
      <c r="R28" s="105"/>
      <c r="S28" s="109" t="s">
        <v>45</v>
      </c>
      <c r="T28" s="111" t="s">
        <v>46</v>
      </c>
      <c r="U28" s="112"/>
      <c r="V28" s="113" t="s">
        <v>47</v>
      </c>
      <c r="W28" s="113" t="s">
        <v>48</v>
      </c>
      <c r="X28" s="113" t="s">
        <v>49</v>
      </c>
      <c r="Y28" s="114" t="s">
        <v>50</v>
      </c>
      <c r="Z28" s="115" t="s">
        <v>32</v>
      </c>
      <c r="AA28" s="116" t="s">
        <v>51</v>
      </c>
      <c r="AB28" s="116" t="s">
        <v>52</v>
      </c>
      <c r="AC28" s="117" t="s">
        <v>53</v>
      </c>
      <c r="AD28" s="117" t="s">
        <v>54</v>
      </c>
      <c r="AE28" s="118" t="s">
        <v>55</v>
      </c>
      <c r="AF28" s="119" t="s">
        <v>56</v>
      </c>
      <c r="AG28" s="118" t="s">
        <v>34</v>
      </c>
      <c r="AH28" s="120" t="s">
        <v>50</v>
      </c>
      <c r="AI28" s="120" t="s">
        <v>57</v>
      </c>
      <c r="AJ28" s="120" t="s">
        <v>34</v>
      </c>
      <c r="AK28" s="121" t="s">
        <v>58</v>
      </c>
      <c r="AL28" s="122" t="s">
        <v>36</v>
      </c>
      <c r="AM28" s="123" t="s">
        <v>37</v>
      </c>
      <c r="AN28" s="123" t="s">
        <v>38</v>
      </c>
      <c r="AO28" s="124"/>
      <c r="AP28" s="124"/>
      <c r="AQ28" s="124"/>
      <c r="AR28" s="124"/>
      <c r="AS28" s="124"/>
      <c r="AT28" s="124"/>
      <c r="AU28" s="124"/>
      <c r="AV28" s="124"/>
      <c r="AW28" s="123"/>
      <c r="AX28" s="123"/>
      <c r="AY28" s="124"/>
      <c r="AZ28" s="124"/>
      <c r="BA28" s="123"/>
      <c r="BB28" s="124"/>
      <c r="BC28" s="123"/>
      <c r="BD28" s="124"/>
      <c r="BE28" s="124"/>
      <c r="BF28" s="124"/>
      <c r="BG28" s="124"/>
      <c r="BH28" s="124"/>
      <c r="BI28" s="124"/>
      <c r="BJ28" s="124"/>
      <c r="BK28" s="124"/>
      <c r="BL28" s="124"/>
      <c r="BM28" s="124"/>
      <c r="BN28" s="124"/>
      <c r="BO28" s="125"/>
      <c r="BP28" s="125"/>
      <c r="BQ28" s="123"/>
      <c r="BR28" s="101"/>
      <c r="BS28" s="101"/>
      <c r="BT28" s="102"/>
      <c r="BU28" s="102"/>
      <c r="BV28" s="126" t="s">
        <v>59</v>
      </c>
      <c r="BW28" s="127" t="s">
        <v>60</v>
      </c>
      <c r="BX28" s="128" t="s">
        <v>36</v>
      </c>
      <c r="BY28" s="124" t="s">
        <v>37</v>
      </c>
      <c r="BZ28" s="124" t="s">
        <v>38</v>
      </c>
      <c r="CA28" s="124"/>
      <c r="CB28" s="124"/>
      <c r="CC28" s="124"/>
      <c r="CD28" s="124"/>
      <c r="CE28" s="124"/>
      <c r="CF28" s="124"/>
      <c r="CG28" s="124"/>
      <c r="CH28" s="124"/>
      <c r="CI28" s="124"/>
      <c r="CJ28" s="124"/>
      <c r="CK28" s="124"/>
      <c r="CL28" s="124"/>
      <c r="CM28" s="124"/>
      <c r="CN28" s="124"/>
      <c r="CO28" s="124"/>
      <c r="CP28" s="124"/>
      <c r="CQ28" s="124"/>
      <c r="CR28" s="124"/>
      <c r="CS28" s="124"/>
      <c r="CT28" s="124"/>
      <c r="CU28" s="124"/>
      <c r="CV28" s="124"/>
      <c r="CW28" s="124"/>
      <c r="CX28" s="124"/>
      <c r="CY28" s="124"/>
      <c r="CZ28" s="124"/>
      <c r="DA28" s="124"/>
      <c r="DB28" s="124"/>
      <c r="DC28" s="124"/>
      <c r="DD28" s="124"/>
      <c r="DE28" s="124"/>
      <c r="DF28" s="102"/>
      <c r="DG28" s="102"/>
      <c r="DH28" s="129"/>
      <c r="DI28" s="130"/>
      <c r="DJ28" s="130" t="s">
        <v>61</v>
      </c>
      <c r="DK28" s="131"/>
      <c r="DL28" s="132"/>
      <c r="DM28" s="99"/>
    </row>
    <row r="29" ht="11.25" customHeight="1">
      <c r="A29" s="133" t="s">
        <v>36</v>
      </c>
      <c r="B29" s="134"/>
      <c r="C29" s="134"/>
      <c r="D29" s="134"/>
      <c r="E29" s="135"/>
      <c r="F29" s="136" t="s">
        <v>62</v>
      </c>
      <c r="G29" s="137" t="s">
        <v>63</v>
      </c>
      <c r="H29" s="138" t="s">
        <v>64</v>
      </c>
      <c r="I29" s="139" t="s">
        <v>65</v>
      </c>
      <c r="J29" s="140" t="s">
        <v>66</v>
      </c>
      <c r="K29" s="140" t="s">
        <v>67</v>
      </c>
      <c r="L29" s="140" t="s">
        <v>68</v>
      </c>
      <c r="M29" s="141" t="s">
        <v>69</v>
      </c>
      <c r="N29" s="135"/>
      <c r="O29" s="135"/>
      <c r="P29" s="140" t="s">
        <v>70</v>
      </c>
      <c r="Q29" s="140" t="s">
        <v>71</v>
      </c>
      <c r="R29" s="140" t="s">
        <v>72</v>
      </c>
      <c r="S29" s="135"/>
      <c r="T29" s="142" t="s">
        <v>73</v>
      </c>
      <c r="U29" s="143" t="s">
        <v>74</v>
      </c>
      <c r="V29" s="135"/>
      <c r="W29" s="135"/>
      <c r="X29" s="135"/>
      <c r="Y29" s="144">
        <v>0.105</v>
      </c>
      <c r="Z29" s="145"/>
      <c r="AA29" s="135"/>
      <c r="AB29" s="135"/>
      <c r="AC29" s="146">
        <v>0.105</v>
      </c>
      <c r="AD29" s="146">
        <v>0.005</v>
      </c>
      <c r="AE29" s="135"/>
      <c r="AF29" s="135"/>
      <c r="AG29" s="135"/>
      <c r="AH29" s="147" t="s">
        <v>75</v>
      </c>
      <c r="AI29" s="147">
        <v>0.02</v>
      </c>
      <c r="AJ29" s="148"/>
      <c r="AK29" s="149" t="s">
        <v>76</v>
      </c>
      <c r="AL29" s="122" t="s">
        <v>36</v>
      </c>
      <c r="AM29" s="123"/>
      <c r="AN29" s="123"/>
      <c r="AO29" s="150"/>
      <c r="AP29" s="150"/>
      <c r="AQ29" s="150"/>
      <c r="AR29" s="150"/>
      <c r="AS29" s="150"/>
      <c r="AT29" s="150"/>
      <c r="AU29" s="150"/>
      <c r="AV29" s="150"/>
      <c r="AW29" s="151"/>
      <c r="AX29" s="151"/>
      <c r="AY29" s="150"/>
      <c r="AZ29" s="150"/>
      <c r="BA29" s="151"/>
      <c r="BB29" s="150"/>
      <c r="BC29" s="151"/>
      <c r="BD29" s="150"/>
      <c r="BE29" s="150"/>
      <c r="BF29" s="150"/>
      <c r="BG29" s="150"/>
      <c r="BH29" s="150"/>
      <c r="BI29" s="150"/>
      <c r="BJ29" s="150"/>
      <c r="BK29" s="150"/>
      <c r="BL29" s="150"/>
      <c r="BM29" s="150"/>
      <c r="BN29" s="150"/>
      <c r="BO29" s="150"/>
      <c r="BP29" s="150"/>
      <c r="BQ29" s="151"/>
      <c r="BR29" s="123"/>
      <c r="BS29" s="123"/>
      <c r="BT29" s="152"/>
      <c r="BU29" s="153"/>
      <c r="BV29" s="126" t="s">
        <v>77</v>
      </c>
      <c r="BW29" s="154" t="s">
        <v>78</v>
      </c>
      <c r="BX29" s="128" t="s">
        <v>36</v>
      </c>
      <c r="BY29" s="124"/>
      <c r="BZ29" s="124"/>
      <c r="CA29" s="150"/>
      <c r="CB29" s="150"/>
      <c r="CC29" s="150"/>
      <c r="CD29" s="150"/>
      <c r="CE29" s="150"/>
      <c r="CF29" s="150"/>
      <c r="CG29" s="150"/>
      <c r="CH29" s="150"/>
      <c r="CI29" s="150"/>
      <c r="CJ29" s="150"/>
      <c r="CK29" s="150"/>
      <c r="CL29" s="150"/>
      <c r="CM29" s="150"/>
      <c r="CN29" s="150"/>
      <c r="CO29" s="150"/>
      <c r="CP29" s="150"/>
      <c r="CQ29" s="150"/>
      <c r="CR29" s="150"/>
      <c r="CS29" s="150"/>
      <c r="CT29" s="150"/>
      <c r="CU29" s="150"/>
      <c r="CV29" s="150"/>
      <c r="CW29" s="150"/>
      <c r="CX29" s="150"/>
      <c r="CY29" s="150"/>
      <c r="CZ29" s="150"/>
      <c r="DA29" s="150"/>
      <c r="DB29" s="150"/>
      <c r="DC29" s="150"/>
      <c r="DD29" s="150"/>
      <c r="DE29" s="150"/>
      <c r="DF29" s="155"/>
      <c r="DG29" s="156"/>
      <c r="DH29" s="157"/>
      <c r="DI29" s="130"/>
      <c r="DJ29" s="158" t="s">
        <v>79</v>
      </c>
      <c r="DK29" s="159"/>
      <c r="DL29" s="160"/>
      <c r="DM29" s="99"/>
    </row>
    <row r="30" ht="11.25" customHeight="1">
      <c r="A30" s="161">
        <v>1.0</v>
      </c>
      <c r="B30" s="162">
        <v>2.0</v>
      </c>
      <c r="C30" s="163">
        <v>3.0</v>
      </c>
      <c r="D30" s="162">
        <v>4.0</v>
      </c>
      <c r="E30" s="163">
        <v>5.0</v>
      </c>
      <c r="F30" s="162">
        <v>6.0</v>
      </c>
      <c r="G30" s="163">
        <v>7.0</v>
      </c>
      <c r="H30" s="162">
        <v>8.0</v>
      </c>
      <c r="I30" s="163">
        <v>9.0</v>
      </c>
      <c r="J30" s="162">
        <v>10.0</v>
      </c>
      <c r="K30" s="163">
        <v>11.0</v>
      </c>
      <c r="L30" s="162">
        <v>12.0</v>
      </c>
      <c r="M30" s="163">
        <v>13.0</v>
      </c>
      <c r="N30" s="162"/>
      <c r="O30" s="162">
        <v>14.0</v>
      </c>
      <c r="P30" s="163">
        <v>15.0</v>
      </c>
      <c r="Q30" s="162">
        <v>16.0</v>
      </c>
      <c r="R30" s="162">
        <v>18.0</v>
      </c>
      <c r="S30" s="163">
        <v>19.0</v>
      </c>
      <c r="T30" s="162">
        <v>20.0</v>
      </c>
      <c r="U30" s="163">
        <v>21.0</v>
      </c>
      <c r="V30" s="162">
        <v>22.0</v>
      </c>
      <c r="W30" s="163">
        <v>23.0</v>
      </c>
      <c r="X30" s="162">
        <v>24.0</v>
      </c>
      <c r="Y30" s="163">
        <v>25.0</v>
      </c>
      <c r="Z30" s="162">
        <v>26.0</v>
      </c>
      <c r="AA30" s="163">
        <v>27.0</v>
      </c>
      <c r="AB30" s="162">
        <v>28.0</v>
      </c>
      <c r="AC30" s="163">
        <v>29.0</v>
      </c>
      <c r="AD30" s="162">
        <v>30.0</v>
      </c>
      <c r="AE30" s="163">
        <v>31.0</v>
      </c>
      <c r="AF30" s="162"/>
      <c r="AG30" s="162">
        <v>32.0</v>
      </c>
      <c r="AH30" s="163">
        <v>33.0</v>
      </c>
      <c r="AI30" s="162">
        <v>34.0</v>
      </c>
      <c r="AJ30" s="163">
        <v>35.0</v>
      </c>
      <c r="AK30" s="164"/>
      <c r="AL30" s="161" t="s">
        <v>80</v>
      </c>
      <c r="AM30" s="163" t="s">
        <v>12</v>
      </c>
      <c r="AN30" s="163" t="s">
        <v>81</v>
      </c>
      <c r="AO30" s="165" t="str">
        <f>DATE(#REF!,VALUE('Bảng chấm công'!Thang),1)</f>
        <v>#REF!</v>
      </c>
      <c r="AP30" s="165" t="str">
        <f t="shared" ref="AP30:BS30" si="5">IFERROR(IF(EOMONTH(AO30,0)=AO30,"",AO30+1),"")</f>
        <v/>
      </c>
      <c r="AQ30" s="165">
        <f t="shared" si="5"/>
        <v>1</v>
      </c>
      <c r="AR30" s="165" t="str">
        <f t="shared" si="5"/>
        <v/>
      </c>
      <c r="AS30" s="165">
        <f t="shared" si="5"/>
        <v>1</v>
      </c>
      <c r="AT30" s="165" t="str">
        <f t="shared" si="5"/>
        <v/>
      </c>
      <c r="AU30" s="165">
        <f t="shared" si="5"/>
        <v>1</v>
      </c>
      <c r="AV30" s="165" t="str">
        <f t="shared" si="5"/>
        <v/>
      </c>
      <c r="AW30" s="166">
        <f t="shared" si="5"/>
        <v>1</v>
      </c>
      <c r="AX30" s="166" t="str">
        <f t="shared" si="5"/>
        <v/>
      </c>
      <c r="AY30" s="165">
        <f t="shared" si="5"/>
        <v>1</v>
      </c>
      <c r="AZ30" s="165" t="str">
        <f t="shared" si="5"/>
        <v/>
      </c>
      <c r="BA30" s="166">
        <f t="shared" si="5"/>
        <v>1</v>
      </c>
      <c r="BB30" s="165" t="str">
        <f t="shared" si="5"/>
        <v/>
      </c>
      <c r="BC30" s="166">
        <f t="shared" si="5"/>
        <v>1</v>
      </c>
      <c r="BD30" s="165" t="str">
        <f t="shared" si="5"/>
        <v/>
      </c>
      <c r="BE30" s="165">
        <f t="shared" si="5"/>
        <v>1</v>
      </c>
      <c r="BF30" s="165" t="str">
        <f t="shared" si="5"/>
        <v/>
      </c>
      <c r="BG30" s="165">
        <f t="shared" si="5"/>
        <v>1</v>
      </c>
      <c r="BH30" s="165" t="str">
        <f t="shared" si="5"/>
        <v/>
      </c>
      <c r="BI30" s="165">
        <f t="shared" si="5"/>
        <v>1</v>
      </c>
      <c r="BJ30" s="165" t="str">
        <f t="shared" si="5"/>
        <v/>
      </c>
      <c r="BK30" s="165">
        <f t="shared" si="5"/>
        <v>1</v>
      </c>
      <c r="BL30" s="165" t="str">
        <f t="shared" si="5"/>
        <v/>
      </c>
      <c r="BM30" s="165">
        <f t="shared" si="5"/>
        <v>1</v>
      </c>
      <c r="BN30" s="165" t="str">
        <f t="shared" si="5"/>
        <v/>
      </c>
      <c r="BO30" s="165">
        <f t="shared" si="5"/>
        <v>1</v>
      </c>
      <c r="BP30" s="165" t="str">
        <f t="shared" si="5"/>
        <v/>
      </c>
      <c r="BQ30" s="166">
        <f t="shared" si="5"/>
        <v>1</v>
      </c>
      <c r="BR30" s="165" t="str">
        <f t="shared" si="5"/>
        <v/>
      </c>
      <c r="BS30" s="166">
        <f t="shared" si="5"/>
        <v>1</v>
      </c>
      <c r="BT30" s="167" t="s">
        <v>82</v>
      </c>
      <c r="BU30" s="168" t="s">
        <v>82</v>
      </c>
      <c r="BV30" s="169" t="s">
        <v>82</v>
      </c>
      <c r="BW30" s="170"/>
      <c r="BX30" s="161" t="s">
        <v>80</v>
      </c>
      <c r="BY30" s="163" t="s">
        <v>12</v>
      </c>
      <c r="BZ30" s="163" t="s">
        <v>81</v>
      </c>
      <c r="CA30" s="165" t="str">
        <f>DATE(#REF!,VALUE('Bảng chấm công'!Thang),1)</f>
        <v>#REF!</v>
      </c>
      <c r="CB30" s="165" t="str">
        <f t="shared" ref="CB30:DE30" si="6">IFERROR(IF(EOMONTH(CA30,0)=CA30,"",CA30+1),"")</f>
        <v/>
      </c>
      <c r="CC30" s="165">
        <f t="shared" si="6"/>
        <v>1</v>
      </c>
      <c r="CD30" s="165" t="str">
        <f t="shared" si="6"/>
        <v/>
      </c>
      <c r="CE30" s="165">
        <f t="shared" si="6"/>
        <v>1</v>
      </c>
      <c r="CF30" s="165" t="str">
        <f t="shared" si="6"/>
        <v/>
      </c>
      <c r="CG30" s="165">
        <f t="shared" si="6"/>
        <v>1</v>
      </c>
      <c r="CH30" s="165" t="str">
        <f t="shared" si="6"/>
        <v/>
      </c>
      <c r="CI30" s="165">
        <f t="shared" si="6"/>
        <v>1</v>
      </c>
      <c r="CJ30" s="165" t="str">
        <f t="shared" si="6"/>
        <v/>
      </c>
      <c r="CK30" s="165">
        <f t="shared" si="6"/>
        <v>1</v>
      </c>
      <c r="CL30" s="165" t="str">
        <f t="shared" si="6"/>
        <v/>
      </c>
      <c r="CM30" s="165">
        <f t="shared" si="6"/>
        <v>1</v>
      </c>
      <c r="CN30" s="165" t="str">
        <f t="shared" si="6"/>
        <v/>
      </c>
      <c r="CO30" s="165">
        <f t="shared" si="6"/>
        <v>1</v>
      </c>
      <c r="CP30" s="165" t="str">
        <f t="shared" si="6"/>
        <v/>
      </c>
      <c r="CQ30" s="165">
        <f t="shared" si="6"/>
        <v>1</v>
      </c>
      <c r="CR30" s="165" t="str">
        <f t="shared" si="6"/>
        <v/>
      </c>
      <c r="CS30" s="165">
        <f t="shared" si="6"/>
        <v>1</v>
      </c>
      <c r="CT30" s="165" t="str">
        <f t="shared" si="6"/>
        <v/>
      </c>
      <c r="CU30" s="165">
        <f t="shared" si="6"/>
        <v>1</v>
      </c>
      <c r="CV30" s="165" t="str">
        <f t="shared" si="6"/>
        <v/>
      </c>
      <c r="CW30" s="165">
        <f t="shared" si="6"/>
        <v>1</v>
      </c>
      <c r="CX30" s="165" t="str">
        <f t="shared" si="6"/>
        <v/>
      </c>
      <c r="CY30" s="165">
        <f t="shared" si="6"/>
        <v>1</v>
      </c>
      <c r="CZ30" s="165" t="str">
        <f t="shared" si="6"/>
        <v/>
      </c>
      <c r="DA30" s="165">
        <f t="shared" si="6"/>
        <v>1</v>
      </c>
      <c r="DB30" s="165" t="str">
        <f t="shared" si="6"/>
        <v/>
      </c>
      <c r="DC30" s="165">
        <f t="shared" si="6"/>
        <v>1</v>
      </c>
      <c r="DD30" s="165" t="str">
        <f t="shared" si="6"/>
        <v/>
      </c>
      <c r="DE30" s="165">
        <f t="shared" si="6"/>
        <v>1</v>
      </c>
      <c r="DF30" s="171" t="s">
        <v>82</v>
      </c>
      <c r="DG30" s="171" t="s">
        <v>82</v>
      </c>
      <c r="DH30" s="172" t="s">
        <v>82</v>
      </c>
      <c r="DI30" s="173" t="s">
        <v>82</v>
      </c>
      <c r="DJ30" s="174" t="s">
        <v>83</v>
      </c>
      <c r="DK30" s="175" t="s">
        <v>84</v>
      </c>
      <c r="DL30" s="176" t="s">
        <v>85</v>
      </c>
      <c r="DM30" s="177"/>
    </row>
    <row r="31" ht="11.25" customHeight="1">
      <c r="A31" s="178">
        <v>1.0</v>
      </c>
      <c r="B31" s="179" t="s">
        <v>86</v>
      </c>
      <c r="C31" s="180" t="s">
        <v>87</v>
      </c>
      <c r="D31" s="181" t="s">
        <v>88</v>
      </c>
      <c r="E31" s="181">
        <v>1.0652E7</v>
      </c>
      <c r="F31" s="181">
        <v>5952000.0</v>
      </c>
      <c r="G31" s="181">
        <f>+E31-F31</f>
        <v>4700000</v>
      </c>
      <c r="H31" s="180">
        <f>+G31+F31</f>
        <v>10652000</v>
      </c>
      <c r="I31" s="182">
        <f>$BT31</f>
        <v>0</v>
      </c>
      <c r="J31" s="180" t="str">
        <f>ROUND(H31*$I31/$BW31,0)</f>
        <v>#REF!</v>
      </c>
      <c r="K31" s="183" t="str">
        <f>ROUND((H31/#REF!)*BU31,0)</f>
        <v>#REF!</v>
      </c>
      <c r="L31" s="184">
        <f>$DI31</f>
        <v>0</v>
      </c>
      <c r="M31" s="180" t="str">
        <f>ROUND((H31/#REF!)*$L31,0)</f>
        <v>#REF!</v>
      </c>
      <c r="N31" s="180"/>
      <c r="O31" s="180"/>
      <c r="P31" s="183">
        <v>1000000.0</v>
      </c>
      <c r="Q31" s="183">
        <v>1000000.0</v>
      </c>
      <c r="R31" s="183" t="str">
        <f>SUMIF('Chi tiết đi site'!$C$4:$C$109,'Bảng chấm công'!$B31,'Chi tiết đi site'!$H$4:$H$109)</f>
        <v>#N/A</v>
      </c>
      <c r="S31" s="185" t="str">
        <f>SUM(J31:R31)-L31</f>
        <v>#REF!</v>
      </c>
      <c r="T31" s="183">
        <v>2.0</v>
      </c>
      <c r="U31" s="183">
        <f>T31*4400000</f>
        <v>8800000</v>
      </c>
      <c r="V31" s="183">
        <v>1.1E7</v>
      </c>
      <c r="W31" s="183" t="str">
        <f>IF(P31&gt;730000,730000+Q31+R31,P31+Q31+R31)</f>
        <v>#N/A</v>
      </c>
      <c r="X31" s="183">
        <f>+IF(L31&gt;0,M31-((DJ31/8)*DL31),0)</f>
        <v>0</v>
      </c>
      <c r="Y31" s="183">
        <f>F31*$Y$29</f>
        <v>624960</v>
      </c>
      <c r="Z31" s="185" t="str">
        <f>SUM(U31:Y31)</f>
        <v>#N/A</v>
      </c>
      <c r="AA31" s="183" t="str">
        <f>IF(S31-Z31&gt;0,S31-Z31,0)</f>
        <v>#REF!</v>
      </c>
      <c r="AB31" s="180"/>
      <c r="AC31" s="180"/>
      <c r="AD31" s="180"/>
      <c r="AE31" s="186"/>
      <c r="AF31" s="186"/>
      <c r="AG31" s="186" t="str">
        <f>ROUND(+$S31-$AC31-$AD31-$AB31-AE31,-2)-AF31</f>
        <v>#REF!</v>
      </c>
      <c r="AH31" s="180">
        <f>ROUND($F31*32%-AC31,0)</f>
        <v>1904640</v>
      </c>
      <c r="AI31" s="180">
        <f>ROUND($F31*$AI$29,0)</f>
        <v>119040</v>
      </c>
      <c r="AJ31" s="187" t="str">
        <f>+$S31+$AH31+$AI31</f>
        <v>#REF!</v>
      </c>
      <c r="AK31" s="188" t="s">
        <v>89</v>
      </c>
      <c r="AL31" s="189">
        <f>A31</f>
        <v>1</v>
      </c>
      <c r="AM31" s="190" t="str">
        <f t="shared" ref="AM31:AN31" si="7">C31</f>
        <v>Nguyễn Thị Hương Thu</v>
      </c>
      <c r="AN31" s="191" t="str">
        <f t="shared" si="7"/>
        <v>GĐ</v>
      </c>
      <c r="AO31" s="192" t="s">
        <v>5</v>
      </c>
      <c r="AP31" s="192" t="s">
        <v>5</v>
      </c>
      <c r="AQ31" s="192" t="s">
        <v>90</v>
      </c>
      <c r="AR31" s="192" t="s">
        <v>90</v>
      </c>
      <c r="AS31" s="192" t="s">
        <v>90</v>
      </c>
      <c r="AT31" s="192"/>
      <c r="AU31" s="192"/>
      <c r="AV31" s="192" t="s">
        <v>90</v>
      </c>
      <c r="AW31" s="192" t="s">
        <v>90</v>
      </c>
      <c r="AX31" s="192" t="s">
        <v>90</v>
      </c>
      <c r="AY31" s="192" t="s">
        <v>90</v>
      </c>
      <c r="AZ31" s="192" t="s">
        <v>90</v>
      </c>
      <c r="BA31" s="192" t="s">
        <v>90</v>
      </c>
      <c r="BB31" s="192"/>
      <c r="BC31" s="192" t="s">
        <v>90</v>
      </c>
      <c r="BD31" s="192" t="s">
        <v>90</v>
      </c>
      <c r="BE31" s="192" t="s">
        <v>90</v>
      </c>
      <c r="BF31" s="192" t="s">
        <v>90</v>
      </c>
      <c r="BG31" s="192" t="s">
        <v>90</v>
      </c>
      <c r="BH31" s="192"/>
      <c r="BI31" s="192"/>
      <c r="BJ31" s="192" t="s">
        <v>90</v>
      </c>
      <c r="BK31" s="192" t="s">
        <v>90</v>
      </c>
      <c r="BL31" s="192" t="s">
        <v>90</v>
      </c>
      <c r="BM31" s="192" t="s">
        <v>90</v>
      </c>
      <c r="BN31" s="192" t="s">
        <v>90</v>
      </c>
      <c r="BO31" s="192" t="s">
        <v>90</v>
      </c>
      <c r="BP31" s="192"/>
      <c r="BQ31" s="192" t="s">
        <v>90</v>
      </c>
      <c r="BR31" s="192" t="s">
        <v>90</v>
      </c>
      <c r="BS31" s="192"/>
      <c r="BT31" s="193">
        <f>COUNTIF(AO31:BS31,#REF!)+COUNTIF(AO31:BS31,#REF!)/2+COUNTIF(AO31:BS31,#REF!)+COUNTIF(AO31:BS31,#REF!)+COUNTIF(AO31:BS31,#REF!)</f>
        <v>0</v>
      </c>
      <c r="BU31" s="194">
        <f>COUNTIF(AO31:BS31,#REF!)+COUNTIF(AO31:BS31,#REF!)/2</f>
        <v>0</v>
      </c>
      <c r="BV31" s="195">
        <f>SUM(BT31:BU31)</f>
        <v>0</v>
      </c>
      <c r="BW31" s="196" t="str">
        <f>+IF(LEFT($D31,2)="TT",#REF!-2,#REF!)</f>
        <v>#REF!</v>
      </c>
      <c r="BX31" s="197">
        <f t="shared" ref="BX31:BZ31" si="8">AL31</f>
        <v>1</v>
      </c>
      <c r="BY31" s="198" t="str">
        <f t="shared" si="8"/>
        <v>Nguyễn Thị Hương Thu</v>
      </c>
      <c r="BZ31" s="191" t="str">
        <f t="shared" si="8"/>
        <v>GĐ</v>
      </c>
      <c r="CA31" s="192"/>
      <c r="CB31" s="192"/>
      <c r="CC31" s="192"/>
      <c r="CD31" s="192"/>
      <c r="CE31" s="192"/>
      <c r="CF31" s="192"/>
      <c r="CG31" s="192"/>
      <c r="CH31" s="192"/>
      <c r="CI31" s="192"/>
      <c r="CJ31" s="192"/>
      <c r="CK31" s="192"/>
      <c r="CL31" s="192"/>
      <c r="CM31" s="192"/>
      <c r="CN31" s="192"/>
      <c r="CO31" s="192"/>
      <c r="CP31" s="192"/>
      <c r="CQ31" s="192"/>
      <c r="CR31" s="192"/>
      <c r="CS31" s="192"/>
      <c r="CT31" s="192"/>
      <c r="CU31" s="192"/>
      <c r="CV31" s="192"/>
      <c r="CW31" s="192"/>
      <c r="CX31" s="192"/>
      <c r="CY31" s="192"/>
      <c r="CZ31" s="192"/>
      <c r="DA31" s="192"/>
      <c r="DB31" s="192"/>
      <c r="DC31" s="192"/>
      <c r="DD31" s="192"/>
      <c r="DE31" s="192"/>
      <c r="DF31" s="194">
        <f>(SUM(BZ31:DD31)-SUM(CG31+CN31+CU31+DB31)+(CA31+CB31))*1.5/8</f>
        <v>0</v>
      </c>
      <c r="DG31" s="194">
        <f>SUM(CG31+CN31+CU31+DB31)*2/8</f>
        <v>0</v>
      </c>
      <c r="DH31" s="194">
        <f>SUM(CA31+CB31)*3/8</f>
        <v>0</v>
      </c>
      <c r="DI31" s="195">
        <f>SUM($DF31:$DH31)</f>
        <v>0</v>
      </c>
      <c r="DJ31" s="195">
        <f>+SUM($CA31:$DE31)</f>
        <v>0</v>
      </c>
      <c r="DK31" s="199">
        <f>H31</f>
        <v>10652000</v>
      </c>
      <c r="DL31" s="200" t="str">
        <f>ROUND(DK31/BW31,0)</f>
        <v>#REF!</v>
      </c>
      <c r="DM31" s="201"/>
    </row>
    <row r="32" ht="11.25" customHeight="1">
      <c r="A32" s="202"/>
      <c r="B32" s="203"/>
      <c r="C32" s="3"/>
      <c r="D32" s="3"/>
      <c r="E32" s="3"/>
      <c r="F32" s="3"/>
      <c r="G32" s="3"/>
      <c r="H32" s="3"/>
      <c r="I32" s="3"/>
      <c r="J32" s="3"/>
      <c r="K32" s="3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ht="11.25" customHeight="1">
      <c r="A33" s="202"/>
      <c r="B33" s="203"/>
      <c r="C33" s="3"/>
      <c r="D33" s="3"/>
      <c r="E33" s="3"/>
      <c r="F33" s="3"/>
      <c r="G33" s="3"/>
      <c r="H33" s="3"/>
      <c r="I33" s="3"/>
      <c r="J33" s="3"/>
      <c r="K33" s="3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ht="11.25" customHeight="1">
      <c r="A34" s="202"/>
      <c r="B34" s="203"/>
      <c r="C34" s="3"/>
      <c r="D34" s="3"/>
      <c r="E34" s="3"/>
      <c r="F34" s="3"/>
      <c r="G34" s="3"/>
      <c r="H34" s="3"/>
      <c r="I34" s="3"/>
      <c r="J34" s="3"/>
      <c r="K34" s="3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ht="11.25" customHeight="1">
      <c r="A35" s="202"/>
      <c r="B35" s="203"/>
      <c r="C35" s="3"/>
      <c r="D35" s="3"/>
      <c r="E35" s="3"/>
      <c r="F35" s="3"/>
      <c r="G35" s="3"/>
      <c r="H35" s="3"/>
      <c r="I35" s="3"/>
      <c r="J35" s="3"/>
      <c r="K35" s="3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ht="11.25" customHeight="1">
      <c r="A36" s="202"/>
      <c r="B36" s="203"/>
      <c r="C36" s="3"/>
      <c r="D36" s="3"/>
      <c r="E36" s="3"/>
      <c r="F36" s="3"/>
      <c r="G36" s="3"/>
      <c r="H36" s="3"/>
      <c r="I36" s="3"/>
      <c r="J36" s="3"/>
      <c r="K36" s="3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ht="11.25" customHeight="1">
      <c r="A37" s="3"/>
      <c r="B37" s="2"/>
      <c r="C37" s="3"/>
      <c r="D37" s="3"/>
      <c r="E37" s="3"/>
      <c r="F37" s="3"/>
      <c r="G37" s="3"/>
      <c r="H37" s="3"/>
      <c r="I37" s="3"/>
      <c r="J37" s="3"/>
      <c r="K37" s="3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ht="11.25" customHeight="1">
      <c r="A38" s="3"/>
      <c r="B38" s="2"/>
      <c r="C38" s="3"/>
      <c r="D38" s="3"/>
      <c r="E38" s="3"/>
      <c r="F38" s="4"/>
      <c r="G38" s="4"/>
      <c r="H38" s="4"/>
      <c r="I38" s="5"/>
      <c r="J38" s="4"/>
      <c r="K38" s="4"/>
      <c r="L38" s="6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3"/>
      <c r="AL38" s="3"/>
      <c r="AM38" s="3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8"/>
      <c r="BU38" s="8"/>
      <c r="BV38" s="8"/>
      <c r="BW38" s="8"/>
      <c r="BX38" s="3"/>
      <c r="BY38" s="3"/>
      <c r="BZ38" s="3"/>
      <c r="CA38" s="8"/>
      <c r="CB38" s="8"/>
      <c r="CC38" s="8"/>
      <c r="CD38" s="8"/>
      <c r="CE38" s="8"/>
      <c r="CF38" s="8"/>
      <c r="CG38" s="9"/>
      <c r="CH38" s="8"/>
      <c r="CI38" s="8"/>
      <c r="CJ38" s="8"/>
      <c r="CK38" s="8"/>
      <c r="CL38" s="8"/>
      <c r="CM38" s="8"/>
      <c r="CN38" s="8"/>
      <c r="CO38" s="8"/>
      <c r="CP38" s="8"/>
      <c r="CQ38" s="9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9"/>
      <c r="DG38" s="9"/>
      <c r="DH38" s="10"/>
      <c r="DI38" s="9"/>
      <c r="DJ38" s="9"/>
      <c r="DK38" s="3"/>
      <c r="DL38" s="3"/>
      <c r="DM38" s="3"/>
    </row>
    <row r="39" ht="11.25" customHeight="1">
      <c r="A39" s="3"/>
      <c r="B39" s="2"/>
      <c r="C39" s="3"/>
      <c r="D39" s="3"/>
      <c r="E39" s="3"/>
      <c r="F39" s="4"/>
      <c r="G39" s="4"/>
      <c r="H39" s="4"/>
      <c r="I39" s="5"/>
      <c r="J39" s="4"/>
      <c r="K39" s="4"/>
      <c r="L39" s="6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3"/>
      <c r="AL39" s="3"/>
      <c r="AM39" s="3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8"/>
      <c r="BU39" s="8"/>
      <c r="BV39" s="8"/>
      <c r="BW39" s="8"/>
      <c r="BX39" s="3"/>
      <c r="BY39" s="3"/>
      <c r="BZ39" s="3"/>
      <c r="CA39" s="8"/>
      <c r="CB39" s="8"/>
      <c r="CC39" s="8"/>
      <c r="CD39" s="8"/>
      <c r="CE39" s="8"/>
      <c r="CF39" s="8"/>
      <c r="CG39" s="9"/>
      <c r="CH39" s="8"/>
      <c r="CI39" s="8"/>
      <c r="CJ39" s="8"/>
      <c r="CK39" s="8"/>
      <c r="CL39" s="8"/>
      <c r="CM39" s="8"/>
      <c r="CN39" s="8"/>
      <c r="CO39" s="8"/>
      <c r="CP39" s="8"/>
      <c r="CQ39" s="9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9"/>
      <c r="DG39" s="9"/>
      <c r="DH39" s="10"/>
      <c r="DI39" s="9"/>
      <c r="DJ39" s="9"/>
      <c r="DK39" s="3"/>
      <c r="DL39" s="3"/>
      <c r="DM39" s="3"/>
    </row>
    <row r="40" ht="11.25" customHeight="1">
      <c r="A40" s="3"/>
      <c r="B40" s="2"/>
      <c r="C40" s="202"/>
      <c r="D40" s="3"/>
      <c r="E40" s="3"/>
      <c r="F40" s="3"/>
      <c r="G40" s="3"/>
      <c r="H40" s="3"/>
      <c r="I40" s="3"/>
      <c r="J40" s="3"/>
      <c r="K40" s="3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ht="11.25" customHeight="1">
      <c r="A41" s="3"/>
      <c r="B41" s="2"/>
      <c r="C41" s="202"/>
      <c r="D41" s="3"/>
      <c r="E41" s="3"/>
      <c r="F41" s="3"/>
      <c r="G41" s="3"/>
      <c r="H41" s="3"/>
      <c r="I41" s="3"/>
      <c r="J41" s="3"/>
      <c r="K41" s="3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ht="11.25" customHeight="1">
      <c r="A42" s="3"/>
      <c r="B42" s="2"/>
      <c r="C42" s="202"/>
      <c r="D42" s="3"/>
      <c r="E42" s="3"/>
      <c r="F42" s="3"/>
      <c r="G42" s="3"/>
      <c r="H42" s="3"/>
      <c r="I42" s="3"/>
      <c r="J42" s="3"/>
      <c r="K42" s="3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ht="11.25" customHeight="1">
      <c r="A43" s="3"/>
      <c r="B43" s="2"/>
      <c r="C43" s="202"/>
      <c r="D43" s="3"/>
      <c r="E43" s="3"/>
      <c r="F43" s="3"/>
      <c r="G43" s="3"/>
      <c r="H43" s="3"/>
      <c r="I43" s="3"/>
      <c r="J43" s="3"/>
      <c r="K43" s="3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ht="11.25" customHeight="1">
      <c r="A44" s="3"/>
      <c r="B44" s="2"/>
      <c r="C44" s="3"/>
      <c r="D44" s="3"/>
      <c r="E44" s="3"/>
      <c r="F44" s="4"/>
      <c r="G44" s="4"/>
      <c r="H44" s="4"/>
      <c r="I44" s="5"/>
      <c r="J44" s="4"/>
      <c r="K44" s="4"/>
      <c r="L44" s="6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3"/>
      <c r="AL44" s="3"/>
      <c r="AM44" s="3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8"/>
      <c r="BU44" s="8"/>
      <c r="BV44" s="8"/>
      <c r="BW44" s="8"/>
      <c r="BX44" s="3"/>
      <c r="BY44" s="3"/>
      <c r="BZ44" s="3"/>
      <c r="CA44" s="8"/>
      <c r="CB44" s="8"/>
      <c r="CC44" s="8"/>
      <c r="CD44" s="8"/>
      <c r="CE44" s="8"/>
      <c r="CF44" s="8"/>
      <c r="CG44" s="9"/>
      <c r="CH44" s="8"/>
      <c r="CI44" s="8"/>
      <c r="CJ44" s="8"/>
      <c r="CK44" s="8"/>
      <c r="CL44" s="8"/>
      <c r="CM44" s="8"/>
      <c r="CN44" s="8"/>
      <c r="CO44" s="8"/>
      <c r="CP44" s="8"/>
      <c r="CQ44" s="9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9"/>
      <c r="DG44" s="9"/>
      <c r="DH44" s="10"/>
      <c r="DI44" s="9"/>
      <c r="DJ44" s="9"/>
      <c r="DK44" s="3"/>
      <c r="DL44" s="3"/>
      <c r="DM44" s="3"/>
    </row>
    <row r="45" ht="11.25" customHeight="1">
      <c r="A45" s="3"/>
      <c r="B45" s="2"/>
      <c r="C45" s="3"/>
      <c r="D45" s="3"/>
      <c r="E45" s="3"/>
      <c r="F45" s="4"/>
      <c r="G45" s="4"/>
      <c r="H45" s="4"/>
      <c r="I45" s="5"/>
      <c r="J45" s="4"/>
      <c r="K45" s="4"/>
      <c r="L45" s="6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3"/>
      <c r="AL45" s="3"/>
      <c r="AM45" s="3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8"/>
      <c r="BU45" s="8"/>
      <c r="BV45" s="8"/>
      <c r="BW45" s="8"/>
      <c r="BX45" s="3"/>
      <c r="BY45" s="3"/>
      <c r="BZ45" s="3"/>
      <c r="CA45" s="8"/>
      <c r="CB45" s="8"/>
      <c r="CC45" s="8"/>
      <c r="CD45" s="8"/>
      <c r="CE45" s="8"/>
      <c r="CF45" s="8"/>
      <c r="CG45" s="9"/>
      <c r="CH45" s="8"/>
      <c r="CI45" s="8"/>
      <c r="CJ45" s="8"/>
      <c r="CK45" s="8"/>
      <c r="CL45" s="8"/>
      <c r="CM45" s="8"/>
      <c r="CN45" s="8"/>
      <c r="CO45" s="8"/>
      <c r="CP45" s="8"/>
      <c r="CQ45" s="9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9"/>
      <c r="DG45" s="9"/>
      <c r="DH45" s="10"/>
      <c r="DI45" s="9"/>
      <c r="DJ45" s="9"/>
      <c r="DK45" s="3"/>
      <c r="DL45" s="3"/>
      <c r="DM45" s="3"/>
    </row>
    <row r="46" ht="11.25" customHeight="1">
      <c r="A46" s="3"/>
      <c r="B46" s="2"/>
      <c r="C46" s="3"/>
      <c r="D46" s="3"/>
      <c r="E46" s="3"/>
      <c r="F46" s="4"/>
      <c r="G46" s="4"/>
      <c r="H46" s="4"/>
      <c r="I46" s="5"/>
      <c r="J46" s="4"/>
      <c r="K46" s="4"/>
      <c r="L46" s="6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3"/>
      <c r="AL46" s="3"/>
      <c r="AM46" s="3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8"/>
      <c r="BU46" s="8"/>
      <c r="BV46" s="8"/>
      <c r="BW46" s="8"/>
      <c r="BX46" s="3"/>
      <c r="BY46" s="3"/>
      <c r="BZ46" s="3"/>
      <c r="CA46" s="8"/>
      <c r="CB46" s="8"/>
      <c r="CC46" s="8"/>
      <c r="CD46" s="8"/>
      <c r="CE46" s="8"/>
      <c r="CF46" s="8"/>
      <c r="CG46" s="9"/>
      <c r="CH46" s="8"/>
      <c r="CI46" s="8"/>
      <c r="CJ46" s="8"/>
      <c r="CK46" s="8"/>
      <c r="CL46" s="8"/>
      <c r="CM46" s="8"/>
      <c r="CN46" s="8"/>
      <c r="CO46" s="8"/>
      <c r="CP46" s="8"/>
      <c r="CQ46" s="9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9"/>
      <c r="DG46" s="9"/>
      <c r="DH46" s="10"/>
      <c r="DI46" s="9"/>
      <c r="DJ46" s="9"/>
      <c r="DK46" s="3"/>
      <c r="DL46" s="3"/>
      <c r="DM46" s="3"/>
    </row>
    <row r="47" ht="11.25" customHeight="1">
      <c r="A47" s="3"/>
      <c r="B47" s="2"/>
      <c r="C47" s="3"/>
      <c r="D47" s="3"/>
      <c r="E47" s="3"/>
      <c r="F47" s="4"/>
      <c r="G47" s="4"/>
      <c r="H47" s="4"/>
      <c r="I47" s="5"/>
      <c r="J47" s="4"/>
      <c r="K47" s="4"/>
      <c r="L47" s="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3"/>
      <c r="AL47" s="3"/>
      <c r="AM47" s="3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8"/>
      <c r="BU47" s="8"/>
      <c r="BV47" s="8"/>
      <c r="BW47" s="8"/>
      <c r="BX47" s="3"/>
      <c r="BY47" s="3"/>
      <c r="BZ47" s="3"/>
      <c r="CA47" s="8"/>
      <c r="CB47" s="8"/>
      <c r="CC47" s="8"/>
      <c r="CD47" s="8"/>
      <c r="CE47" s="8"/>
      <c r="CF47" s="8"/>
      <c r="CG47" s="9"/>
      <c r="CH47" s="8"/>
      <c r="CI47" s="8"/>
      <c r="CJ47" s="8"/>
      <c r="CK47" s="8"/>
      <c r="CL47" s="8"/>
      <c r="CM47" s="8"/>
      <c r="CN47" s="8"/>
      <c r="CO47" s="8"/>
      <c r="CP47" s="8"/>
      <c r="CQ47" s="9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9"/>
      <c r="DG47" s="9"/>
      <c r="DH47" s="10"/>
      <c r="DI47" s="9"/>
      <c r="DJ47" s="9"/>
      <c r="DK47" s="3"/>
      <c r="DL47" s="3"/>
      <c r="DM47" s="3"/>
    </row>
    <row r="48" ht="11.25" customHeight="1">
      <c r="A48" s="3"/>
      <c r="B48" s="2"/>
      <c r="C48" s="3"/>
      <c r="D48" s="3"/>
      <c r="E48" s="3"/>
      <c r="F48" s="4"/>
      <c r="G48" s="4"/>
      <c r="H48" s="4"/>
      <c r="I48" s="5"/>
      <c r="J48" s="4"/>
      <c r="K48" s="4"/>
      <c r="L48" s="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3"/>
      <c r="AL48" s="3"/>
      <c r="AM48" s="3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8"/>
      <c r="BU48" s="8"/>
      <c r="BV48" s="8"/>
      <c r="BW48" s="8"/>
      <c r="BX48" s="3"/>
      <c r="BY48" s="3"/>
      <c r="BZ48" s="3"/>
      <c r="CA48" s="8"/>
      <c r="CB48" s="8"/>
      <c r="CC48" s="8"/>
      <c r="CD48" s="8"/>
      <c r="CE48" s="8"/>
      <c r="CF48" s="8"/>
      <c r="CG48" s="9"/>
      <c r="CH48" s="8"/>
      <c r="CI48" s="8"/>
      <c r="CJ48" s="8"/>
      <c r="CK48" s="8"/>
      <c r="CL48" s="8"/>
      <c r="CM48" s="8"/>
      <c r="CN48" s="8"/>
      <c r="CO48" s="8"/>
      <c r="CP48" s="8"/>
      <c r="CQ48" s="9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9"/>
      <c r="DG48" s="9"/>
      <c r="DH48" s="10"/>
      <c r="DI48" s="9"/>
      <c r="DJ48" s="9"/>
      <c r="DK48" s="3"/>
      <c r="DL48" s="3"/>
      <c r="DM48" s="3"/>
    </row>
    <row r="49" ht="11.25" customHeight="1">
      <c r="A49" s="3"/>
      <c r="B49" s="2"/>
      <c r="C49" s="3"/>
      <c r="D49" s="3"/>
      <c r="E49" s="3"/>
      <c r="F49" s="4"/>
      <c r="G49" s="4"/>
      <c r="H49" s="4"/>
      <c r="I49" s="5"/>
      <c r="J49" s="4"/>
      <c r="K49" s="4"/>
      <c r="L49" s="6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3"/>
      <c r="AL49" s="3"/>
      <c r="AM49" s="3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8"/>
      <c r="BU49" s="8"/>
      <c r="BV49" s="8"/>
      <c r="BW49" s="8"/>
      <c r="BX49" s="3"/>
      <c r="BY49" s="3"/>
      <c r="BZ49" s="3"/>
      <c r="CA49" s="8"/>
      <c r="CB49" s="8"/>
      <c r="CC49" s="8"/>
      <c r="CD49" s="8"/>
      <c r="CE49" s="8"/>
      <c r="CF49" s="8"/>
      <c r="CG49" s="9"/>
      <c r="CH49" s="8"/>
      <c r="CI49" s="8"/>
      <c r="CJ49" s="8"/>
      <c r="CK49" s="8"/>
      <c r="CL49" s="8"/>
      <c r="CM49" s="8"/>
      <c r="CN49" s="8"/>
      <c r="CO49" s="8"/>
      <c r="CP49" s="8"/>
      <c r="CQ49" s="9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9"/>
      <c r="DG49" s="9"/>
      <c r="DH49" s="10"/>
      <c r="DI49" s="9"/>
      <c r="DJ49" s="9"/>
      <c r="DK49" s="3"/>
      <c r="DL49" s="3"/>
      <c r="DM49" s="3"/>
    </row>
    <row r="50" ht="11.25" customHeight="1">
      <c r="A50" s="3"/>
      <c r="B50" s="2"/>
      <c r="C50" s="3"/>
      <c r="D50" s="3"/>
      <c r="E50" s="3"/>
      <c r="F50" s="4"/>
      <c r="G50" s="4"/>
      <c r="H50" s="4"/>
      <c r="I50" s="5"/>
      <c r="J50" s="4"/>
      <c r="K50" s="4"/>
      <c r="L50" s="6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3"/>
      <c r="AL50" s="3"/>
      <c r="AM50" s="3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8"/>
      <c r="BU50" s="8"/>
      <c r="BV50" s="8"/>
      <c r="BW50" s="8"/>
      <c r="BX50" s="3"/>
      <c r="BY50" s="3"/>
      <c r="BZ50" s="3"/>
      <c r="CA50" s="8"/>
      <c r="CB50" s="8"/>
      <c r="CC50" s="8"/>
      <c r="CD50" s="8"/>
      <c r="CE50" s="8"/>
      <c r="CF50" s="8"/>
      <c r="CG50" s="9"/>
      <c r="CH50" s="8"/>
      <c r="CI50" s="8"/>
      <c r="CJ50" s="8"/>
      <c r="CK50" s="8"/>
      <c r="CL50" s="8"/>
      <c r="CM50" s="8"/>
      <c r="CN50" s="8"/>
      <c r="CO50" s="8"/>
      <c r="CP50" s="8"/>
      <c r="CQ50" s="9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9"/>
      <c r="DG50" s="9"/>
      <c r="DH50" s="10"/>
      <c r="DI50" s="9"/>
      <c r="DJ50" s="9"/>
      <c r="DK50" s="3"/>
      <c r="DL50" s="3"/>
      <c r="DM50" s="3"/>
    </row>
    <row r="51" ht="11.25" customHeight="1">
      <c r="A51" s="3"/>
      <c r="B51" s="2"/>
      <c r="C51" s="3"/>
      <c r="D51" s="3"/>
      <c r="E51" s="3"/>
      <c r="F51" s="4"/>
      <c r="G51" s="4"/>
      <c r="H51" s="4"/>
      <c r="I51" s="5"/>
      <c r="J51" s="4"/>
      <c r="K51" s="4"/>
      <c r="L51" s="6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3"/>
      <c r="AL51" s="3"/>
      <c r="AM51" s="3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8"/>
      <c r="BU51" s="8"/>
      <c r="BV51" s="8"/>
      <c r="BW51" s="8"/>
      <c r="BX51" s="3"/>
      <c r="BY51" s="3"/>
      <c r="BZ51" s="3"/>
      <c r="CA51" s="8"/>
      <c r="CB51" s="8"/>
      <c r="CC51" s="8"/>
      <c r="CD51" s="8"/>
      <c r="CE51" s="8"/>
      <c r="CF51" s="8"/>
      <c r="CG51" s="9"/>
      <c r="CH51" s="8"/>
      <c r="CI51" s="8"/>
      <c r="CJ51" s="8"/>
      <c r="CK51" s="8"/>
      <c r="CL51" s="8"/>
      <c r="CM51" s="8"/>
      <c r="CN51" s="8"/>
      <c r="CO51" s="8"/>
      <c r="CP51" s="8"/>
      <c r="CQ51" s="9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9"/>
      <c r="DG51" s="9"/>
      <c r="DH51" s="10"/>
      <c r="DI51" s="9"/>
      <c r="DJ51" s="9"/>
      <c r="DK51" s="3"/>
      <c r="DL51" s="3"/>
      <c r="DM51" s="3"/>
    </row>
    <row r="52" ht="11.25" customHeight="1">
      <c r="A52" s="3"/>
      <c r="B52" s="2"/>
      <c r="C52" s="3"/>
      <c r="D52" s="3"/>
      <c r="E52" s="3"/>
      <c r="F52" s="4"/>
      <c r="G52" s="4"/>
      <c r="H52" s="4"/>
      <c r="I52" s="5"/>
      <c r="J52" s="4"/>
      <c r="K52" s="4"/>
      <c r="L52" s="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3"/>
      <c r="AL52" s="3"/>
      <c r="AM52" s="3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8"/>
      <c r="BU52" s="8"/>
      <c r="BV52" s="8"/>
      <c r="BW52" s="8"/>
      <c r="BX52" s="3"/>
      <c r="BY52" s="3"/>
      <c r="BZ52" s="3"/>
      <c r="CA52" s="8"/>
      <c r="CB52" s="8"/>
      <c r="CC52" s="8"/>
      <c r="CD52" s="8"/>
      <c r="CE52" s="8"/>
      <c r="CF52" s="8"/>
      <c r="CG52" s="9"/>
      <c r="CH52" s="8"/>
      <c r="CI52" s="8"/>
      <c r="CJ52" s="8"/>
      <c r="CK52" s="8"/>
      <c r="CL52" s="8"/>
      <c r="CM52" s="8"/>
      <c r="CN52" s="8"/>
      <c r="CO52" s="8"/>
      <c r="CP52" s="8"/>
      <c r="CQ52" s="9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9"/>
      <c r="DG52" s="9"/>
      <c r="DH52" s="10"/>
      <c r="DI52" s="9"/>
      <c r="DJ52" s="9"/>
      <c r="DK52" s="3"/>
      <c r="DL52" s="3"/>
      <c r="DM52" s="3"/>
    </row>
    <row r="53" ht="11.25" customHeight="1">
      <c r="A53" s="3"/>
      <c r="B53" s="2"/>
      <c r="C53" s="3"/>
      <c r="D53" s="3"/>
      <c r="E53" s="3"/>
      <c r="F53" s="4"/>
      <c r="G53" s="4"/>
      <c r="H53" s="4"/>
      <c r="I53" s="5"/>
      <c r="J53" s="4"/>
      <c r="K53" s="4"/>
      <c r="L53" s="6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3"/>
      <c r="AL53" s="3"/>
      <c r="AM53" s="3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8"/>
      <c r="BU53" s="8"/>
      <c r="BV53" s="8"/>
      <c r="BW53" s="8"/>
      <c r="BX53" s="3"/>
      <c r="BY53" s="3"/>
      <c r="BZ53" s="3"/>
      <c r="CA53" s="8"/>
      <c r="CB53" s="8"/>
      <c r="CC53" s="8"/>
      <c r="CD53" s="8"/>
      <c r="CE53" s="8"/>
      <c r="CF53" s="8"/>
      <c r="CG53" s="9"/>
      <c r="CH53" s="8"/>
      <c r="CI53" s="8"/>
      <c r="CJ53" s="8"/>
      <c r="CK53" s="8"/>
      <c r="CL53" s="8"/>
      <c r="CM53" s="8"/>
      <c r="CN53" s="8"/>
      <c r="CO53" s="8"/>
      <c r="CP53" s="8"/>
      <c r="CQ53" s="9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9"/>
      <c r="DG53" s="9"/>
      <c r="DH53" s="10"/>
      <c r="DI53" s="9"/>
      <c r="DJ53" s="9"/>
      <c r="DK53" s="3"/>
      <c r="DL53" s="3"/>
      <c r="DM53" s="3"/>
    </row>
    <row r="54" ht="11.25" customHeight="1">
      <c r="A54" s="3"/>
      <c r="B54" s="2"/>
      <c r="C54" s="3"/>
      <c r="D54" s="3"/>
      <c r="E54" s="3"/>
      <c r="F54" s="4"/>
      <c r="G54" s="4"/>
      <c r="H54" s="4"/>
      <c r="I54" s="5"/>
      <c r="J54" s="4"/>
      <c r="K54" s="4"/>
      <c r="L54" s="6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3"/>
      <c r="AL54" s="3"/>
      <c r="AM54" s="3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8"/>
      <c r="BU54" s="8"/>
      <c r="BV54" s="8"/>
      <c r="BW54" s="8"/>
      <c r="BX54" s="3"/>
      <c r="BY54" s="3"/>
      <c r="BZ54" s="3"/>
      <c r="CA54" s="8"/>
      <c r="CB54" s="8"/>
      <c r="CC54" s="8"/>
      <c r="CD54" s="8"/>
      <c r="CE54" s="8"/>
      <c r="CF54" s="8"/>
      <c r="CG54" s="9"/>
      <c r="CH54" s="8"/>
      <c r="CI54" s="8"/>
      <c r="CJ54" s="8"/>
      <c r="CK54" s="8"/>
      <c r="CL54" s="8"/>
      <c r="CM54" s="8"/>
      <c r="CN54" s="8"/>
      <c r="CO54" s="8"/>
      <c r="CP54" s="8"/>
      <c r="CQ54" s="9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9"/>
      <c r="DG54" s="9"/>
      <c r="DH54" s="10"/>
      <c r="DI54" s="9"/>
      <c r="DJ54" s="9"/>
      <c r="DK54" s="3"/>
      <c r="DL54" s="3"/>
      <c r="DM54" s="3"/>
    </row>
    <row r="55" ht="11.25" customHeight="1">
      <c r="A55" s="3"/>
      <c r="B55" s="2"/>
      <c r="C55" s="3"/>
      <c r="D55" s="3"/>
      <c r="E55" s="3"/>
      <c r="F55" s="4"/>
      <c r="G55" s="4"/>
      <c r="H55" s="4"/>
      <c r="I55" s="5"/>
      <c r="J55" s="4"/>
      <c r="K55" s="4"/>
      <c r="L55" s="6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3"/>
      <c r="AL55" s="3"/>
      <c r="AM55" s="3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8"/>
      <c r="BU55" s="8"/>
      <c r="BV55" s="8"/>
      <c r="BW55" s="8"/>
      <c r="BX55" s="3"/>
      <c r="BY55" s="3"/>
      <c r="BZ55" s="3"/>
      <c r="CA55" s="8"/>
      <c r="CB55" s="8"/>
      <c r="CC55" s="8"/>
      <c r="CD55" s="8"/>
      <c r="CE55" s="8"/>
      <c r="CF55" s="8"/>
      <c r="CG55" s="9"/>
      <c r="CH55" s="8"/>
      <c r="CI55" s="8"/>
      <c r="CJ55" s="8"/>
      <c r="CK55" s="8"/>
      <c r="CL55" s="8"/>
      <c r="CM55" s="8"/>
      <c r="CN55" s="8"/>
      <c r="CO55" s="8"/>
      <c r="CP55" s="8"/>
      <c r="CQ55" s="9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9"/>
      <c r="DG55" s="9"/>
      <c r="DH55" s="10"/>
      <c r="DI55" s="9"/>
      <c r="DJ55" s="9"/>
      <c r="DK55" s="3"/>
      <c r="DL55" s="3"/>
      <c r="DM55" s="3"/>
    </row>
    <row r="56" ht="11.25" customHeight="1">
      <c r="A56" s="3"/>
      <c r="B56" s="2"/>
      <c r="C56" s="3"/>
      <c r="D56" s="3"/>
      <c r="E56" s="3"/>
      <c r="F56" s="4"/>
      <c r="G56" s="4"/>
      <c r="H56" s="4"/>
      <c r="I56" s="5"/>
      <c r="J56" s="4"/>
      <c r="K56" s="4"/>
      <c r="L56" s="6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3"/>
      <c r="AL56" s="3"/>
      <c r="AM56" s="3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8"/>
      <c r="BU56" s="8"/>
      <c r="BV56" s="8"/>
      <c r="BW56" s="8"/>
      <c r="BX56" s="3"/>
      <c r="BY56" s="3"/>
      <c r="BZ56" s="3"/>
      <c r="CA56" s="8"/>
      <c r="CB56" s="8"/>
      <c r="CC56" s="8"/>
      <c r="CD56" s="8"/>
      <c r="CE56" s="8"/>
      <c r="CF56" s="8"/>
      <c r="CG56" s="9"/>
      <c r="CH56" s="8"/>
      <c r="CI56" s="8"/>
      <c r="CJ56" s="8"/>
      <c r="CK56" s="8"/>
      <c r="CL56" s="8"/>
      <c r="CM56" s="8"/>
      <c r="CN56" s="8"/>
      <c r="CO56" s="8"/>
      <c r="CP56" s="8"/>
      <c r="CQ56" s="9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9"/>
      <c r="DG56" s="9"/>
      <c r="DH56" s="10"/>
      <c r="DI56" s="9"/>
      <c r="DJ56" s="9"/>
      <c r="DK56" s="3"/>
      <c r="DL56" s="3"/>
      <c r="DM56" s="3"/>
    </row>
    <row r="57" ht="11.25" customHeight="1">
      <c r="A57" s="3"/>
      <c r="B57" s="2"/>
      <c r="C57" s="3"/>
      <c r="D57" s="3"/>
      <c r="E57" s="3"/>
      <c r="F57" s="4"/>
      <c r="G57" s="4"/>
      <c r="H57" s="4"/>
      <c r="I57" s="5"/>
      <c r="J57" s="4"/>
      <c r="K57" s="4"/>
      <c r="L57" s="6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3"/>
      <c r="AL57" s="3"/>
      <c r="AM57" s="3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8"/>
      <c r="BU57" s="8"/>
      <c r="BV57" s="8"/>
      <c r="BW57" s="8"/>
      <c r="BX57" s="3"/>
      <c r="BY57" s="3"/>
      <c r="BZ57" s="3"/>
      <c r="CA57" s="8"/>
      <c r="CB57" s="8"/>
      <c r="CC57" s="8"/>
      <c r="CD57" s="8"/>
      <c r="CE57" s="8"/>
      <c r="CF57" s="8"/>
      <c r="CG57" s="9"/>
      <c r="CH57" s="8"/>
      <c r="CI57" s="8"/>
      <c r="CJ57" s="8"/>
      <c r="CK57" s="8"/>
      <c r="CL57" s="8"/>
      <c r="CM57" s="8"/>
      <c r="CN57" s="8"/>
      <c r="CO57" s="8"/>
      <c r="CP57" s="8"/>
      <c r="CQ57" s="9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9"/>
      <c r="DG57" s="9"/>
      <c r="DH57" s="10"/>
      <c r="DI57" s="9"/>
      <c r="DJ57" s="9"/>
      <c r="DK57" s="3"/>
      <c r="DL57" s="3"/>
      <c r="DM57" s="3"/>
    </row>
    <row r="58" ht="11.25" customHeight="1">
      <c r="A58" s="3"/>
      <c r="B58" s="2"/>
      <c r="C58" s="3"/>
      <c r="D58" s="3"/>
      <c r="E58" s="3"/>
      <c r="F58" s="4"/>
      <c r="G58" s="4"/>
      <c r="H58" s="4"/>
      <c r="I58" s="5"/>
      <c r="J58" s="4"/>
      <c r="K58" s="4"/>
      <c r="L58" s="6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3"/>
      <c r="AL58" s="3"/>
      <c r="AM58" s="3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8"/>
      <c r="BU58" s="8"/>
      <c r="BV58" s="8"/>
      <c r="BW58" s="8"/>
      <c r="BX58" s="3"/>
      <c r="BY58" s="3"/>
      <c r="BZ58" s="3"/>
      <c r="CA58" s="8"/>
      <c r="CB58" s="8"/>
      <c r="CC58" s="8"/>
      <c r="CD58" s="8"/>
      <c r="CE58" s="8"/>
      <c r="CF58" s="8"/>
      <c r="CG58" s="9"/>
      <c r="CH58" s="8"/>
      <c r="CI58" s="8"/>
      <c r="CJ58" s="8"/>
      <c r="CK58" s="8"/>
      <c r="CL58" s="8"/>
      <c r="CM58" s="8"/>
      <c r="CN58" s="8"/>
      <c r="CO58" s="8"/>
      <c r="CP58" s="8"/>
      <c r="CQ58" s="9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9"/>
      <c r="DG58" s="9"/>
      <c r="DH58" s="10"/>
      <c r="DI58" s="9"/>
      <c r="DJ58" s="9"/>
      <c r="DK58" s="3"/>
      <c r="DL58" s="3"/>
      <c r="DM58" s="3"/>
    </row>
    <row r="59" ht="11.25" customHeight="1">
      <c r="A59" s="3"/>
      <c r="B59" s="2"/>
      <c r="C59" s="3"/>
      <c r="D59" s="3"/>
      <c r="E59" s="3"/>
      <c r="F59" s="4"/>
      <c r="G59" s="4"/>
      <c r="H59" s="4"/>
      <c r="I59" s="5"/>
      <c r="J59" s="4"/>
      <c r="K59" s="4"/>
      <c r="L59" s="6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3"/>
      <c r="AL59" s="3"/>
      <c r="AM59" s="3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8"/>
      <c r="BU59" s="8"/>
      <c r="BV59" s="8"/>
      <c r="BW59" s="8"/>
      <c r="BX59" s="3"/>
      <c r="BY59" s="3"/>
      <c r="BZ59" s="3"/>
      <c r="CA59" s="8"/>
      <c r="CB59" s="8"/>
      <c r="CC59" s="8"/>
      <c r="CD59" s="8"/>
      <c r="CE59" s="8"/>
      <c r="CF59" s="8"/>
      <c r="CG59" s="9"/>
      <c r="CH59" s="8"/>
      <c r="CI59" s="8"/>
      <c r="CJ59" s="8"/>
      <c r="CK59" s="8"/>
      <c r="CL59" s="8"/>
      <c r="CM59" s="8"/>
      <c r="CN59" s="8"/>
      <c r="CO59" s="8"/>
      <c r="CP59" s="8"/>
      <c r="CQ59" s="9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9"/>
      <c r="DG59" s="9"/>
      <c r="DH59" s="10"/>
      <c r="DI59" s="9"/>
      <c r="DJ59" s="9"/>
      <c r="DK59" s="3"/>
      <c r="DL59" s="3"/>
      <c r="DM59" s="3"/>
    </row>
    <row r="60" ht="11.25" customHeight="1">
      <c r="A60" s="3"/>
      <c r="B60" s="2"/>
      <c r="C60" s="3"/>
      <c r="D60" s="3"/>
      <c r="E60" s="3"/>
      <c r="F60" s="4"/>
      <c r="G60" s="4"/>
      <c r="H60" s="4"/>
      <c r="I60" s="5"/>
      <c r="J60" s="4"/>
      <c r="K60" s="4"/>
      <c r="L60" s="6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3"/>
      <c r="AL60" s="3"/>
      <c r="AM60" s="3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8"/>
      <c r="BU60" s="8"/>
      <c r="BV60" s="8"/>
      <c r="BW60" s="8"/>
      <c r="BX60" s="3"/>
      <c r="BY60" s="3"/>
      <c r="BZ60" s="3"/>
      <c r="CA60" s="8"/>
      <c r="CB60" s="8"/>
      <c r="CC60" s="8"/>
      <c r="CD60" s="8"/>
      <c r="CE60" s="8"/>
      <c r="CF60" s="8"/>
      <c r="CG60" s="9"/>
      <c r="CH60" s="8"/>
      <c r="CI60" s="8"/>
      <c r="CJ60" s="8"/>
      <c r="CK60" s="8"/>
      <c r="CL60" s="8"/>
      <c r="CM60" s="8"/>
      <c r="CN60" s="8"/>
      <c r="CO60" s="8"/>
      <c r="CP60" s="8"/>
      <c r="CQ60" s="9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9"/>
      <c r="DG60" s="9"/>
      <c r="DH60" s="10"/>
      <c r="DI60" s="9"/>
      <c r="DJ60" s="9"/>
      <c r="DK60" s="3"/>
      <c r="DL60" s="3"/>
      <c r="DM60" s="3"/>
    </row>
    <row r="61" ht="11.25" customHeight="1">
      <c r="A61" s="3"/>
      <c r="B61" s="2"/>
      <c r="C61" s="3"/>
      <c r="D61" s="3"/>
      <c r="E61" s="3"/>
      <c r="F61" s="4"/>
      <c r="G61" s="4"/>
      <c r="H61" s="4"/>
      <c r="I61" s="5"/>
      <c r="J61" s="4"/>
      <c r="K61" s="4"/>
      <c r="L61" s="6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3"/>
      <c r="AL61" s="3"/>
      <c r="AM61" s="3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8"/>
      <c r="BU61" s="8"/>
      <c r="BV61" s="8"/>
      <c r="BW61" s="8"/>
      <c r="BX61" s="3"/>
      <c r="BY61" s="3"/>
      <c r="BZ61" s="3"/>
      <c r="CA61" s="8"/>
      <c r="CB61" s="8"/>
      <c r="CC61" s="8"/>
      <c r="CD61" s="8"/>
      <c r="CE61" s="8"/>
      <c r="CF61" s="8"/>
      <c r="CG61" s="9"/>
      <c r="CH61" s="8"/>
      <c r="CI61" s="8"/>
      <c r="CJ61" s="8"/>
      <c r="CK61" s="8"/>
      <c r="CL61" s="8"/>
      <c r="CM61" s="8"/>
      <c r="CN61" s="8"/>
      <c r="CO61" s="8"/>
      <c r="CP61" s="8"/>
      <c r="CQ61" s="9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9"/>
      <c r="DG61" s="9"/>
      <c r="DH61" s="10"/>
      <c r="DI61" s="9"/>
      <c r="DJ61" s="9"/>
      <c r="DK61" s="3"/>
      <c r="DL61" s="3"/>
      <c r="DM61" s="3"/>
    </row>
    <row r="62" ht="11.25" customHeight="1">
      <c r="A62" s="3"/>
      <c r="B62" s="2"/>
      <c r="C62" s="3"/>
      <c r="D62" s="3"/>
      <c r="E62" s="3"/>
      <c r="F62" s="4"/>
      <c r="G62" s="4"/>
      <c r="H62" s="4"/>
      <c r="I62" s="5"/>
      <c r="J62" s="4"/>
      <c r="K62" s="4"/>
      <c r="L62" s="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3"/>
      <c r="AL62" s="3"/>
      <c r="AM62" s="3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8"/>
      <c r="BU62" s="8"/>
      <c r="BV62" s="8"/>
      <c r="BW62" s="8"/>
      <c r="BX62" s="3"/>
      <c r="BY62" s="3"/>
      <c r="BZ62" s="3"/>
      <c r="CA62" s="8"/>
      <c r="CB62" s="8"/>
      <c r="CC62" s="8"/>
      <c r="CD62" s="8"/>
      <c r="CE62" s="8"/>
      <c r="CF62" s="8"/>
      <c r="CG62" s="9"/>
      <c r="CH62" s="8"/>
      <c r="CI62" s="8"/>
      <c r="CJ62" s="8"/>
      <c r="CK62" s="8"/>
      <c r="CL62" s="8"/>
      <c r="CM62" s="8"/>
      <c r="CN62" s="8"/>
      <c r="CO62" s="8"/>
      <c r="CP62" s="8"/>
      <c r="CQ62" s="9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9"/>
      <c r="DG62" s="9"/>
      <c r="DH62" s="10"/>
      <c r="DI62" s="9"/>
      <c r="DJ62" s="9"/>
      <c r="DK62" s="3"/>
      <c r="DL62" s="3"/>
      <c r="DM62" s="3"/>
    </row>
    <row r="63" ht="11.25" customHeight="1">
      <c r="A63" s="3"/>
      <c r="B63" s="2"/>
      <c r="C63" s="3"/>
      <c r="D63" s="3"/>
      <c r="E63" s="3"/>
      <c r="F63" s="4"/>
      <c r="G63" s="4"/>
      <c r="H63" s="4"/>
      <c r="I63" s="5"/>
      <c r="J63" s="4"/>
      <c r="K63" s="4"/>
      <c r="L63" s="6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3"/>
      <c r="AL63" s="3"/>
      <c r="AM63" s="3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8"/>
      <c r="BU63" s="8"/>
      <c r="BV63" s="8"/>
      <c r="BW63" s="8"/>
      <c r="BX63" s="3"/>
      <c r="BY63" s="3"/>
      <c r="BZ63" s="3"/>
      <c r="CA63" s="8"/>
      <c r="CB63" s="8"/>
      <c r="CC63" s="8"/>
      <c r="CD63" s="8"/>
      <c r="CE63" s="8"/>
      <c r="CF63" s="8"/>
      <c r="CG63" s="9"/>
      <c r="CH63" s="8"/>
      <c r="CI63" s="8"/>
      <c r="CJ63" s="8"/>
      <c r="CK63" s="8"/>
      <c r="CL63" s="8"/>
      <c r="CM63" s="8"/>
      <c r="CN63" s="8"/>
      <c r="CO63" s="8"/>
      <c r="CP63" s="8"/>
      <c r="CQ63" s="9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9"/>
      <c r="DG63" s="9"/>
      <c r="DH63" s="10"/>
      <c r="DI63" s="9"/>
      <c r="DJ63" s="9"/>
      <c r="DK63" s="3"/>
      <c r="DL63" s="3"/>
      <c r="DM63" s="3"/>
    </row>
    <row r="64" ht="11.25" customHeight="1">
      <c r="A64" s="3"/>
      <c r="B64" s="2"/>
      <c r="C64" s="3"/>
      <c r="D64" s="3"/>
      <c r="E64" s="3"/>
      <c r="F64" s="4"/>
      <c r="G64" s="4"/>
      <c r="H64" s="4"/>
      <c r="I64" s="5"/>
      <c r="J64" s="4"/>
      <c r="K64" s="4"/>
      <c r="L64" s="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3"/>
      <c r="AL64" s="3"/>
      <c r="AM64" s="3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8"/>
      <c r="BU64" s="8"/>
      <c r="BV64" s="8"/>
      <c r="BW64" s="8"/>
      <c r="BX64" s="3"/>
      <c r="BY64" s="3"/>
      <c r="BZ64" s="3"/>
      <c r="CA64" s="8"/>
      <c r="CB64" s="8"/>
      <c r="CC64" s="8"/>
      <c r="CD64" s="8"/>
      <c r="CE64" s="8"/>
      <c r="CF64" s="8"/>
      <c r="CG64" s="9"/>
      <c r="CH64" s="8"/>
      <c r="CI64" s="8"/>
      <c r="CJ64" s="8"/>
      <c r="CK64" s="8"/>
      <c r="CL64" s="8"/>
      <c r="CM64" s="8"/>
      <c r="CN64" s="8"/>
      <c r="CO64" s="8"/>
      <c r="CP64" s="8"/>
      <c r="CQ64" s="9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9"/>
      <c r="DG64" s="9"/>
      <c r="DH64" s="10"/>
      <c r="DI64" s="9"/>
      <c r="DJ64" s="9"/>
      <c r="DK64" s="3"/>
      <c r="DL64" s="3"/>
      <c r="DM64" s="3"/>
    </row>
    <row r="65" ht="11.25" customHeight="1">
      <c r="A65" s="3"/>
      <c r="B65" s="2"/>
      <c r="C65" s="3"/>
      <c r="D65" s="3"/>
      <c r="E65" s="3"/>
      <c r="F65" s="4"/>
      <c r="G65" s="4"/>
      <c r="H65" s="4"/>
      <c r="I65" s="5"/>
      <c r="J65" s="4"/>
      <c r="K65" s="4"/>
      <c r="L65" s="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3"/>
      <c r="AL65" s="3"/>
      <c r="AM65" s="3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8"/>
      <c r="BU65" s="8"/>
      <c r="BV65" s="8"/>
      <c r="BW65" s="8"/>
      <c r="BX65" s="3"/>
      <c r="BY65" s="3"/>
      <c r="BZ65" s="3"/>
      <c r="CA65" s="8"/>
      <c r="CB65" s="8"/>
      <c r="CC65" s="8"/>
      <c r="CD65" s="8"/>
      <c r="CE65" s="8"/>
      <c r="CF65" s="8"/>
      <c r="CG65" s="9"/>
      <c r="CH65" s="8"/>
      <c r="CI65" s="8"/>
      <c r="CJ65" s="8"/>
      <c r="CK65" s="8"/>
      <c r="CL65" s="8"/>
      <c r="CM65" s="8"/>
      <c r="CN65" s="8"/>
      <c r="CO65" s="8"/>
      <c r="CP65" s="8"/>
      <c r="CQ65" s="9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9"/>
      <c r="DG65" s="9"/>
      <c r="DH65" s="10"/>
      <c r="DI65" s="9"/>
      <c r="DJ65" s="9"/>
      <c r="DK65" s="3"/>
      <c r="DL65" s="3"/>
      <c r="DM65" s="3"/>
    </row>
    <row r="66" ht="11.25" customHeight="1">
      <c r="A66" s="3"/>
      <c r="B66" s="2"/>
      <c r="C66" s="3"/>
      <c r="D66" s="3"/>
      <c r="E66" s="3"/>
      <c r="F66" s="4"/>
      <c r="G66" s="4"/>
      <c r="H66" s="4"/>
      <c r="I66" s="5"/>
      <c r="J66" s="4"/>
      <c r="K66" s="4"/>
      <c r="L66" s="6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3"/>
      <c r="AL66" s="3"/>
      <c r="AM66" s="3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8"/>
      <c r="BU66" s="8"/>
      <c r="BV66" s="8"/>
      <c r="BW66" s="8"/>
      <c r="BX66" s="3"/>
      <c r="BY66" s="3"/>
      <c r="BZ66" s="3"/>
      <c r="CA66" s="8"/>
      <c r="CB66" s="8"/>
      <c r="CC66" s="8"/>
      <c r="CD66" s="8"/>
      <c r="CE66" s="8"/>
      <c r="CF66" s="8"/>
      <c r="CG66" s="9"/>
      <c r="CH66" s="8"/>
      <c r="CI66" s="8"/>
      <c r="CJ66" s="8"/>
      <c r="CK66" s="8"/>
      <c r="CL66" s="8"/>
      <c r="CM66" s="8"/>
      <c r="CN66" s="8"/>
      <c r="CO66" s="8"/>
      <c r="CP66" s="8"/>
      <c r="CQ66" s="9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9"/>
      <c r="DG66" s="9"/>
      <c r="DH66" s="10"/>
      <c r="DI66" s="9"/>
      <c r="DJ66" s="9"/>
      <c r="DK66" s="3"/>
      <c r="DL66" s="3"/>
      <c r="DM66" s="3"/>
    </row>
    <row r="67" ht="11.25" customHeight="1">
      <c r="A67" s="3"/>
      <c r="B67" s="2"/>
      <c r="C67" s="3"/>
      <c r="D67" s="3"/>
      <c r="E67" s="3"/>
      <c r="F67" s="4"/>
      <c r="G67" s="4"/>
      <c r="H67" s="4"/>
      <c r="I67" s="5"/>
      <c r="J67" s="4"/>
      <c r="K67" s="4"/>
      <c r="L67" s="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3"/>
      <c r="AL67" s="3"/>
      <c r="AM67" s="3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8"/>
      <c r="BU67" s="8"/>
      <c r="BV67" s="8"/>
      <c r="BW67" s="8"/>
      <c r="BX67" s="3"/>
      <c r="BY67" s="3"/>
      <c r="BZ67" s="3"/>
      <c r="CA67" s="8"/>
      <c r="CB67" s="8"/>
      <c r="CC67" s="8"/>
      <c r="CD67" s="8"/>
      <c r="CE67" s="8"/>
      <c r="CF67" s="8"/>
      <c r="CG67" s="9"/>
      <c r="CH67" s="8"/>
      <c r="CI67" s="8"/>
      <c r="CJ67" s="8"/>
      <c r="CK67" s="8"/>
      <c r="CL67" s="8"/>
      <c r="CM67" s="8"/>
      <c r="CN67" s="8"/>
      <c r="CO67" s="8"/>
      <c r="CP67" s="8"/>
      <c r="CQ67" s="9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9"/>
      <c r="DG67" s="9"/>
      <c r="DH67" s="10"/>
      <c r="DI67" s="9"/>
      <c r="DJ67" s="9"/>
      <c r="DK67" s="3"/>
      <c r="DL67" s="3"/>
      <c r="DM67" s="3"/>
    </row>
    <row r="68" ht="11.25" customHeight="1">
      <c r="A68" s="3"/>
      <c r="B68" s="2"/>
      <c r="C68" s="3"/>
      <c r="D68" s="3"/>
      <c r="E68" s="3"/>
      <c r="F68" s="4"/>
      <c r="G68" s="4"/>
      <c r="H68" s="4"/>
      <c r="I68" s="5"/>
      <c r="J68" s="4"/>
      <c r="K68" s="4"/>
      <c r="L68" s="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3"/>
      <c r="AL68" s="3"/>
      <c r="AM68" s="3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8"/>
      <c r="BU68" s="8"/>
      <c r="BV68" s="8"/>
      <c r="BW68" s="8"/>
      <c r="BX68" s="3"/>
      <c r="BY68" s="3"/>
      <c r="BZ68" s="3"/>
      <c r="CA68" s="8"/>
      <c r="CB68" s="8"/>
      <c r="CC68" s="8"/>
      <c r="CD68" s="8"/>
      <c r="CE68" s="8"/>
      <c r="CF68" s="8"/>
      <c r="CG68" s="9"/>
      <c r="CH68" s="8"/>
      <c r="CI68" s="8"/>
      <c r="CJ68" s="8"/>
      <c r="CK68" s="8"/>
      <c r="CL68" s="8"/>
      <c r="CM68" s="8"/>
      <c r="CN68" s="8"/>
      <c r="CO68" s="8"/>
      <c r="CP68" s="8"/>
      <c r="CQ68" s="9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9"/>
      <c r="DG68" s="9"/>
      <c r="DH68" s="10"/>
      <c r="DI68" s="9"/>
      <c r="DJ68" s="9"/>
      <c r="DK68" s="3"/>
      <c r="DL68" s="3"/>
      <c r="DM68" s="3"/>
    </row>
    <row r="69" ht="11.25" customHeight="1">
      <c r="A69" s="3"/>
      <c r="B69" s="2"/>
      <c r="C69" s="3"/>
      <c r="D69" s="3"/>
      <c r="E69" s="3"/>
      <c r="F69" s="4"/>
      <c r="G69" s="4"/>
      <c r="H69" s="4"/>
      <c r="I69" s="5"/>
      <c r="J69" s="4"/>
      <c r="K69" s="4"/>
      <c r="L69" s="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3"/>
      <c r="AL69" s="3"/>
      <c r="AM69" s="3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8"/>
      <c r="BU69" s="8"/>
      <c r="BV69" s="8"/>
      <c r="BW69" s="8"/>
      <c r="BX69" s="3"/>
      <c r="BY69" s="3"/>
      <c r="BZ69" s="3"/>
      <c r="CA69" s="8"/>
      <c r="CB69" s="8"/>
      <c r="CC69" s="8"/>
      <c r="CD69" s="8"/>
      <c r="CE69" s="8"/>
      <c r="CF69" s="8"/>
      <c r="CG69" s="9"/>
      <c r="CH69" s="8"/>
      <c r="CI69" s="8"/>
      <c r="CJ69" s="8"/>
      <c r="CK69" s="8"/>
      <c r="CL69" s="8"/>
      <c r="CM69" s="8"/>
      <c r="CN69" s="8"/>
      <c r="CO69" s="8"/>
      <c r="CP69" s="8"/>
      <c r="CQ69" s="9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9"/>
      <c r="DG69" s="9"/>
      <c r="DH69" s="10"/>
      <c r="DI69" s="9"/>
      <c r="DJ69" s="9"/>
      <c r="DK69" s="3"/>
      <c r="DL69" s="3"/>
      <c r="DM69" s="3"/>
    </row>
    <row r="70" ht="11.25" customHeight="1">
      <c r="A70" s="3"/>
      <c r="B70" s="2"/>
      <c r="C70" s="3"/>
      <c r="D70" s="3"/>
      <c r="E70" s="3"/>
      <c r="F70" s="4"/>
      <c r="G70" s="4"/>
      <c r="H70" s="4"/>
      <c r="I70" s="5"/>
      <c r="J70" s="4"/>
      <c r="K70" s="4"/>
      <c r="L70" s="6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3"/>
      <c r="AL70" s="3"/>
      <c r="AM70" s="3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8"/>
      <c r="BU70" s="8"/>
      <c r="BV70" s="8"/>
      <c r="BW70" s="8"/>
      <c r="BX70" s="3"/>
      <c r="BY70" s="3"/>
      <c r="BZ70" s="3"/>
      <c r="CA70" s="8"/>
      <c r="CB70" s="8"/>
      <c r="CC70" s="8"/>
      <c r="CD70" s="8"/>
      <c r="CE70" s="8"/>
      <c r="CF70" s="8"/>
      <c r="CG70" s="9"/>
      <c r="CH70" s="8"/>
      <c r="CI70" s="8"/>
      <c r="CJ70" s="8"/>
      <c r="CK70" s="8"/>
      <c r="CL70" s="8"/>
      <c r="CM70" s="8"/>
      <c r="CN70" s="8"/>
      <c r="CO70" s="8"/>
      <c r="CP70" s="8"/>
      <c r="CQ70" s="9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9"/>
      <c r="DG70" s="9"/>
      <c r="DH70" s="10"/>
      <c r="DI70" s="9"/>
      <c r="DJ70" s="9"/>
      <c r="DK70" s="3"/>
      <c r="DL70" s="3"/>
      <c r="DM70" s="3"/>
    </row>
    <row r="71" ht="11.25" customHeight="1">
      <c r="A71" s="3"/>
      <c r="B71" s="2"/>
      <c r="C71" s="3"/>
      <c r="D71" s="3"/>
      <c r="E71" s="3"/>
      <c r="F71" s="4"/>
      <c r="G71" s="4"/>
      <c r="H71" s="4"/>
      <c r="I71" s="5"/>
      <c r="J71" s="4"/>
      <c r="K71" s="4"/>
      <c r="L71" s="6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3"/>
      <c r="AL71" s="3"/>
      <c r="AM71" s="3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8"/>
      <c r="BU71" s="8"/>
      <c r="BV71" s="8"/>
      <c r="BW71" s="8"/>
      <c r="BX71" s="3"/>
      <c r="BY71" s="3"/>
      <c r="BZ71" s="3"/>
      <c r="CA71" s="8"/>
      <c r="CB71" s="8"/>
      <c r="CC71" s="8"/>
      <c r="CD71" s="8"/>
      <c r="CE71" s="8"/>
      <c r="CF71" s="8"/>
      <c r="CG71" s="9"/>
      <c r="CH71" s="8"/>
      <c r="CI71" s="8"/>
      <c r="CJ71" s="8"/>
      <c r="CK71" s="8"/>
      <c r="CL71" s="8"/>
      <c r="CM71" s="8"/>
      <c r="CN71" s="8"/>
      <c r="CO71" s="8"/>
      <c r="CP71" s="8"/>
      <c r="CQ71" s="9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9"/>
      <c r="DG71" s="9"/>
      <c r="DH71" s="10"/>
      <c r="DI71" s="9"/>
      <c r="DJ71" s="9"/>
      <c r="DK71" s="3"/>
      <c r="DL71" s="3"/>
      <c r="DM71" s="3"/>
    </row>
    <row r="72" ht="11.25" customHeight="1">
      <c r="A72" s="3"/>
      <c r="B72" s="2"/>
      <c r="C72" s="3"/>
      <c r="D72" s="3"/>
      <c r="E72" s="3"/>
      <c r="F72" s="4"/>
      <c r="G72" s="4"/>
      <c r="H72" s="4"/>
      <c r="I72" s="5"/>
      <c r="J72" s="4"/>
      <c r="K72" s="4"/>
      <c r="L72" s="6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3"/>
      <c r="AL72" s="3"/>
      <c r="AM72" s="3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8"/>
      <c r="BU72" s="8"/>
      <c r="BV72" s="8"/>
      <c r="BW72" s="8"/>
      <c r="BX72" s="3"/>
      <c r="BY72" s="3"/>
      <c r="BZ72" s="3"/>
      <c r="CA72" s="8"/>
      <c r="CB72" s="8"/>
      <c r="CC72" s="8"/>
      <c r="CD72" s="8"/>
      <c r="CE72" s="8"/>
      <c r="CF72" s="8"/>
      <c r="CG72" s="9"/>
      <c r="CH72" s="8"/>
      <c r="CI72" s="8"/>
      <c r="CJ72" s="8"/>
      <c r="CK72" s="8"/>
      <c r="CL72" s="8"/>
      <c r="CM72" s="8"/>
      <c r="CN72" s="8"/>
      <c r="CO72" s="8"/>
      <c r="CP72" s="8"/>
      <c r="CQ72" s="9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9"/>
      <c r="DG72" s="9"/>
      <c r="DH72" s="10"/>
      <c r="DI72" s="9"/>
      <c r="DJ72" s="9"/>
      <c r="DK72" s="3"/>
      <c r="DL72" s="3"/>
      <c r="DM72" s="3"/>
    </row>
    <row r="73" ht="11.25" customHeight="1">
      <c r="A73" s="3"/>
      <c r="B73" s="2"/>
      <c r="C73" s="3"/>
      <c r="D73" s="3"/>
      <c r="E73" s="3"/>
      <c r="F73" s="4"/>
      <c r="G73" s="4"/>
      <c r="H73" s="4"/>
      <c r="I73" s="5"/>
      <c r="J73" s="4"/>
      <c r="K73" s="4"/>
      <c r="L73" s="6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3"/>
      <c r="AL73" s="3"/>
      <c r="AM73" s="3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8"/>
      <c r="BU73" s="8"/>
      <c r="BV73" s="8"/>
      <c r="BW73" s="8"/>
      <c r="BX73" s="3"/>
      <c r="BY73" s="3"/>
      <c r="BZ73" s="3"/>
      <c r="CA73" s="8"/>
      <c r="CB73" s="8"/>
      <c r="CC73" s="8"/>
      <c r="CD73" s="8"/>
      <c r="CE73" s="8"/>
      <c r="CF73" s="8"/>
      <c r="CG73" s="9"/>
      <c r="CH73" s="8"/>
      <c r="CI73" s="8"/>
      <c r="CJ73" s="8"/>
      <c r="CK73" s="8"/>
      <c r="CL73" s="8"/>
      <c r="CM73" s="8"/>
      <c r="CN73" s="8"/>
      <c r="CO73" s="8"/>
      <c r="CP73" s="8"/>
      <c r="CQ73" s="9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9"/>
      <c r="DG73" s="9"/>
      <c r="DH73" s="10"/>
      <c r="DI73" s="9"/>
      <c r="DJ73" s="9"/>
      <c r="DK73" s="3"/>
      <c r="DL73" s="3"/>
      <c r="DM73" s="3"/>
    </row>
    <row r="74" ht="11.25" customHeight="1">
      <c r="A74" s="3"/>
      <c r="B74" s="2"/>
      <c r="C74" s="3"/>
      <c r="D74" s="3"/>
      <c r="E74" s="3"/>
      <c r="F74" s="4"/>
      <c r="G74" s="4"/>
      <c r="H74" s="4"/>
      <c r="I74" s="5"/>
      <c r="J74" s="4"/>
      <c r="K74" s="4"/>
      <c r="L74" s="6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3"/>
      <c r="AL74" s="3"/>
      <c r="AM74" s="3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8"/>
      <c r="BU74" s="8"/>
      <c r="BV74" s="8"/>
      <c r="BW74" s="8"/>
      <c r="BX74" s="3"/>
      <c r="BY74" s="3"/>
      <c r="BZ74" s="3"/>
      <c r="CA74" s="8"/>
      <c r="CB74" s="8"/>
      <c r="CC74" s="8"/>
      <c r="CD74" s="8"/>
      <c r="CE74" s="8"/>
      <c r="CF74" s="8"/>
      <c r="CG74" s="9"/>
      <c r="CH74" s="8"/>
      <c r="CI74" s="8"/>
      <c r="CJ74" s="8"/>
      <c r="CK74" s="8"/>
      <c r="CL74" s="8"/>
      <c r="CM74" s="8"/>
      <c r="CN74" s="8"/>
      <c r="CO74" s="8"/>
      <c r="CP74" s="8"/>
      <c r="CQ74" s="9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9"/>
      <c r="DG74" s="9"/>
      <c r="DH74" s="10"/>
      <c r="DI74" s="9"/>
      <c r="DJ74" s="9"/>
      <c r="DK74" s="3"/>
      <c r="DL74" s="3"/>
      <c r="DM74" s="3"/>
    </row>
    <row r="75" ht="11.25" customHeight="1">
      <c r="A75" s="3"/>
      <c r="B75" s="2"/>
      <c r="C75" s="3"/>
      <c r="D75" s="3"/>
      <c r="E75" s="3"/>
      <c r="F75" s="4"/>
      <c r="G75" s="4"/>
      <c r="H75" s="4"/>
      <c r="I75" s="5"/>
      <c r="J75" s="4"/>
      <c r="K75" s="4"/>
      <c r="L75" s="6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3"/>
      <c r="AL75" s="3"/>
      <c r="AM75" s="3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8"/>
      <c r="BU75" s="8"/>
      <c r="BV75" s="8"/>
      <c r="BW75" s="8"/>
      <c r="BX75" s="3"/>
      <c r="BY75" s="3"/>
      <c r="BZ75" s="3"/>
      <c r="CA75" s="8"/>
      <c r="CB75" s="8"/>
      <c r="CC75" s="8"/>
      <c r="CD75" s="8"/>
      <c r="CE75" s="8"/>
      <c r="CF75" s="8"/>
      <c r="CG75" s="9"/>
      <c r="CH75" s="8"/>
      <c r="CI75" s="8"/>
      <c r="CJ75" s="8"/>
      <c r="CK75" s="8"/>
      <c r="CL75" s="8"/>
      <c r="CM75" s="8"/>
      <c r="CN75" s="8"/>
      <c r="CO75" s="8"/>
      <c r="CP75" s="8"/>
      <c r="CQ75" s="9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9"/>
      <c r="DG75" s="9"/>
      <c r="DH75" s="10"/>
      <c r="DI75" s="9"/>
      <c r="DJ75" s="9"/>
      <c r="DK75" s="3"/>
      <c r="DL75" s="3"/>
      <c r="DM75" s="3"/>
    </row>
    <row r="76" ht="11.25" customHeight="1">
      <c r="A76" s="3"/>
      <c r="B76" s="2"/>
      <c r="C76" s="3"/>
      <c r="D76" s="3"/>
      <c r="E76" s="3"/>
      <c r="F76" s="4"/>
      <c r="G76" s="4"/>
      <c r="H76" s="4"/>
      <c r="I76" s="5"/>
      <c r="J76" s="4"/>
      <c r="K76" s="4"/>
      <c r="L76" s="6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3"/>
      <c r="AL76" s="3"/>
      <c r="AM76" s="3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8"/>
      <c r="BU76" s="8"/>
      <c r="BV76" s="8"/>
      <c r="BW76" s="8"/>
      <c r="BX76" s="3"/>
      <c r="BY76" s="3"/>
      <c r="BZ76" s="3"/>
      <c r="CA76" s="8"/>
      <c r="CB76" s="8"/>
      <c r="CC76" s="8"/>
      <c r="CD76" s="8"/>
      <c r="CE76" s="8"/>
      <c r="CF76" s="8"/>
      <c r="CG76" s="9"/>
      <c r="CH76" s="8"/>
      <c r="CI76" s="8"/>
      <c r="CJ76" s="8"/>
      <c r="CK76" s="8"/>
      <c r="CL76" s="8"/>
      <c r="CM76" s="8"/>
      <c r="CN76" s="8"/>
      <c r="CO76" s="8"/>
      <c r="CP76" s="8"/>
      <c r="CQ76" s="9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9"/>
      <c r="DG76" s="9"/>
      <c r="DH76" s="10"/>
      <c r="DI76" s="9"/>
      <c r="DJ76" s="9"/>
      <c r="DK76" s="3"/>
      <c r="DL76" s="3"/>
      <c r="DM76" s="3"/>
    </row>
    <row r="77" ht="11.25" customHeight="1">
      <c r="A77" s="3"/>
      <c r="B77" s="2"/>
      <c r="C77" s="3"/>
      <c r="D77" s="3"/>
      <c r="E77" s="3"/>
      <c r="F77" s="4"/>
      <c r="G77" s="4"/>
      <c r="H77" s="4"/>
      <c r="I77" s="5"/>
      <c r="J77" s="4"/>
      <c r="K77" s="4"/>
      <c r="L77" s="6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3"/>
      <c r="AL77" s="3"/>
      <c r="AM77" s="3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8"/>
      <c r="BU77" s="8"/>
      <c r="BV77" s="8"/>
      <c r="BW77" s="8"/>
      <c r="BX77" s="3"/>
      <c r="BY77" s="3"/>
      <c r="BZ77" s="3"/>
      <c r="CA77" s="8"/>
      <c r="CB77" s="8"/>
      <c r="CC77" s="8"/>
      <c r="CD77" s="8"/>
      <c r="CE77" s="8"/>
      <c r="CF77" s="8"/>
      <c r="CG77" s="9"/>
      <c r="CH77" s="8"/>
      <c r="CI77" s="8"/>
      <c r="CJ77" s="8"/>
      <c r="CK77" s="8"/>
      <c r="CL77" s="8"/>
      <c r="CM77" s="8"/>
      <c r="CN77" s="8"/>
      <c r="CO77" s="8"/>
      <c r="CP77" s="8"/>
      <c r="CQ77" s="9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9"/>
      <c r="DG77" s="9"/>
      <c r="DH77" s="10"/>
      <c r="DI77" s="9"/>
      <c r="DJ77" s="9"/>
      <c r="DK77" s="3"/>
      <c r="DL77" s="3"/>
      <c r="DM77" s="3"/>
    </row>
    <row r="78" ht="11.25" customHeight="1">
      <c r="A78" s="3"/>
      <c r="B78" s="2"/>
      <c r="C78" s="3"/>
      <c r="D78" s="3"/>
      <c r="E78" s="3"/>
      <c r="F78" s="4"/>
      <c r="G78" s="4"/>
      <c r="H78" s="4"/>
      <c r="I78" s="5"/>
      <c r="J78" s="4"/>
      <c r="K78" s="4"/>
      <c r="L78" s="6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3"/>
      <c r="AL78" s="3"/>
      <c r="AM78" s="3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8"/>
      <c r="BU78" s="8"/>
      <c r="BV78" s="8"/>
      <c r="BW78" s="8"/>
      <c r="BX78" s="3"/>
      <c r="BY78" s="3"/>
      <c r="BZ78" s="3"/>
      <c r="CA78" s="8"/>
      <c r="CB78" s="8"/>
      <c r="CC78" s="8"/>
      <c r="CD78" s="8"/>
      <c r="CE78" s="8"/>
      <c r="CF78" s="8"/>
      <c r="CG78" s="9"/>
      <c r="CH78" s="8"/>
      <c r="CI78" s="8"/>
      <c r="CJ78" s="8"/>
      <c r="CK78" s="8"/>
      <c r="CL78" s="8"/>
      <c r="CM78" s="8"/>
      <c r="CN78" s="8"/>
      <c r="CO78" s="8"/>
      <c r="CP78" s="8"/>
      <c r="CQ78" s="9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9"/>
      <c r="DG78" s="9"/>
      <c r="DH78" s="10"/>
      <c r="DI78" s="9"/>
      <c r="DJ78" s="9"/>
      <c r="DK78" s="3"/>
      <c r="DL78" s="3"/>
      <c r="DM78" s="3"/>
    </row>
    <row r="79" ht="11.25" customHeight="1">
      <c r="A79" s="3"/>
      <c r="B79" s="2"/>
      <c r="C79" s="3"/>
      <c r="D79" s="3"/>
      <c r="E79" s="3"/>
      <c r="F79" s="4"/>
      <c r="G79" s="4"/>
      <c r="H79" s="4"/>
      <c r="I79" s="5"/>
      <c r="J79" s="4"/>
      <c r="K79" s="4"/>
      <c r="L79" s="6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3"/>
      <c r="AL79" s="3"/>
      <c r="AM79" s="3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8"/>
      <c r="BU79" s="8"/>
      <c r="BV79" s="8"/>
      <c r="BW79" s="8"/>
      <c r="BX79" s="3"/>
      <c r="BY79" s="3"/>
      <c r="BZ79" s="3"/>
      <c r="CA79" s="8"/>
      <c r="CB79" s="8"/>
      <c r="CC79" s="8"/>
      <c r="CD79" s="8"/>
      <c r="CE79" s="8"/>
      <c r="CF79" s="8"/>
      <c r="CG79" s="9"/>
      <c r="CH79" s="8"/>
      <c r="CI79" s="8"/>
      <c r="CJ79" s="8"/>
      <c r="CK79" s="8"/>
      <c r="CL79" s="8"/>
      <c r="CM79" s="8"/>
      <c r="CN79" s="8"/>
      <c r="CO79" s="8"/>
      <c r="CP79" s="8"/>
      <c r="CQ79" s="9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9"/>
      <c r="DG79" s="9"/>
      <c r="DH79" s="10"/>
      <c r="DI79" s="9"/>
      <c r="DJ79" s="9"/>
      <c r="DK79" s="3"/>
      <c r="DL79" s="3"/>
      <c r="DM79" s="3"/>
    </row>
    <row r="80" ht="11.25" customHeight="1">
      <c r="A80" s="3"/>
      <c r="B80" s="2"/>
      <c r="C80" s="3"/>
      <c r="D80" s="3"/>
      <c r="E80" s="3"/>
      <c r="F80" s="4"/>
      <c r="G80" s="4"/>
      <c r="H80" s="4"/>
      <c r="I80" s="5"/>
      <c r="J80" s="4"/>
      <c r="K80" s="4"/>
      <c r="L80" s="6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3"/>
      <c r="AL80" s="3"/>
      <c r="AM80" s="3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8"/>
      <c r="BU80" s="8"/>
      <c r="BV80" s="8"/>
      <c r="BW80" s="8"/>
      <c r="BX80" s="3"/>
      <c r="BY80" s="3"/>
      <c r="BZ80" s="3"/>
      <c r="CA80" s="8"/>
      <c r="CB80" s="8"/>
      <c r="CC80" s="8"/>
      <c r="CD80" s="8"/>
      <c r="CE80" s="8"/>
      <c r="CF80" s="8"/>
      <c r="CG80" s="9"/>
      <c r="CH80" s="8"/>
      <c r="CI80" s="8"/>
      <c r="CJ80" s="8"/>
      <c r="CK80" s="8"/>
      <c r="CL80" s="8"/>
      <c r="CM80" s="8"/>
      <c r="CN80" s="8"/>
      <c r="CO80" s="8"/>
      <c r="CP80" s="8"/>
      <c r="CQ80" s="9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9"/>
      <c r="DG80" s="9"/>
      <c r="DH80" s="10"/>
      <c r="DI80" s="9"/>
      <c r="DJ80" s="9"/>
      <c r="DK80" s="3"/>
      <c r="DL80" s="3"/>
      <c r="DM80" s="3"/>
    </row>
    <row r="81" ht="11.25" customHeight="1">
      <c r="A81" s="3"/>
      <c r="B81" s="2"/>
      <c r="C81" s="3"/>
      <c r="D81" s="3"/>
      <c r="E81" s="3"/>
      <c r="F81" s="4"/>
      <c r="G81" s="4"/>
      <c r="H81" s="4"/>
      <c r="I81" s="5"/>
      <c r="J81" s="4"/>
      <c r="K81" s="4"/>
      <c r="L81" s="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3"/>
      <c r="AL81" s="3"/>
      <c r="AM81" s="3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8"/>
      <c r="BU81" s="8"/>
      <c r="BV81" s="8"/>
      <c r="BW81" s="8"/>
      <c r="BX81" s="3"/>
      <c r="BY81" s="3"/>
      <c r="BZ81" s="3"/>
      <c r="CA81" s="8"/>
      <c r="CB81" s="8"/>
      <c r="CC81" s="8"/>
      <c r="CD81" s="8"/>
      <c r="CE81" s="8"/>
      <c r="CF81" s="8"/>
      <c r="CG81" s="9"/>
      <c r="CH81" s="8"/>
      <c r="CI81" s="8"/>
      <c r="CJ81" s="8"/>
      <c r="CK81" s="8"/>
      <c r="CL81" s="8"/>
      <c r="CM81" s="8"/>
      <c r="CN81" s="8"/>
      <c r="CO81" s="8"/>
      <c r="CP81" s="8"/>
      <c r="CQ81" s="9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9"/>
      <c r="DG81" s="9"/>
      <c r="DH81" s="10"/>
      <c r="DI81" s="9"/>
      <c r="DJ81" s="9"/>
      <c r="DK81" s="3"/>
      <c r="DL81" s="3"/>
      <c r="DM81" s="3"/>
    </row>
    <row r="82" ht="11.25" customHeight="1">
      <c r="A82" s="3"/>
      <c r="B82" s="2"/>
      <c r="C82" s="3"/>
      <c r="D82" s="3"/>
      <c r="E82" s="3"/>
      <c r="F82" s="4"/>
      <c r="G82" s="4"/>
      <c r="H82" s="4"/>
      <c r="I82" s="5"/>
      <c r="J82" s="4"/>
      <c r="K82" s="4"/>
      <c r="L82" s="6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3"/>
      <c r="AL82" s="3"/>
      <c r="AM82" s="3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8"/>
      <c r="BU82" s="8"/>
      <c r="BV82" s="8"/>
      <c r="BW82" s="8"/>
      <c r="BX82" s="3"/>
      <c r="BY82" s="3"/>
      <c r="BZ82" s="3"/>
      <c r="CA82" s="8"/>
      <c r="CB82" s="8"/>
      <c r="CC82" s="8"/>
      <c r="CD82" s="8"/>
      <c r="CE82" s="8"/>
      <c r="CF82" s="8"/>
      <c r="CG82" s="9"/>
      <c r="CH82" s="8"/>
      <c r="CI82" s="8"/>
      <c r="CJ82" s="8"/>
      <c r="CK82" s="8"/>
      <c r="CL82" s="8"/>
      <c r="CM82" s="8"/>
      <c r="CN82" s="8"/>
      <c r="CO82" s="8"/>
      <c r="CP82" s="8"/>
      <c r="CQ82" s="9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9"/>
      <c r="DG82" s="9"/>
      <c r="DH82" s="10"/>
      <c r="DI82" s="9"/>
      <c r="DJ82" s="9"/>
      <c r="DK82" s="3"/>
      <c r="DL82" s="3"/>
      <c r="DM82" s="3"/>
    </row>
    <row r="83" ht="11.25" customHeight="1">
      <c r="A83" s="3"/>
      <c r="B83" s="2"/>
      <c r="C83" s="3"/>
      <c r="D83" s="3"/>
      <c r="E83" s="3"/>
      <c r="F83" s="4"/>
      <c r="G83" s="4"/>
      <c r="H83" s="4"/>
      <c r="I83" s="5"/>
      <c r="J83" s="4"/>
      <c r="K83" s="4"/>
      <c r="L83" s="6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3"/>
      <c r="AL83" s="3"/>
      <c r="AM83" s="3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8"/>
      <c r="BU83" s="8"/>
      <c r="BV83" s="8"/>
      <c r="BW83" s="8"/>
      <c r="BX83" s="3"/>
      <c r="BY83" s="3"/>
      <c r="BZ83" s="3"/>
      <c r="CA83" s="8"/>
      <c r="CB83" s="8"/>
      <c r="CC83" s="8"/>
      <c r="CD83" s="8"/>
      <c r="CE83" s="8"/>
      <c r="CF83" s="8"/>
      <c r="CG83" s="9"/>
      <c r="CH83" s="8"/>
      <c r="CI83" s="8"/>
      <c r="CJ83" s="8"/>
      <c r="CK83" s="8"/>
      <c r="CL83" s="8"/>
      <c r="CM83" s="8"/>
      <c r="CN83" s="8"/>
      <c r="CO83" s="8"/>
      <c r="CP83" s="8"/>
      <c r="CQ83" s="9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9"/>
      <c r="DG83" s="9"/>
      <c r="DH83" s="10"/>
      <c r="DI83" s="9"/>
      <c r="DJ83" s="9"/>
      <c r="DK83" s="3"/>
      <c r="DL83" s="3"/>
      <c r="DM83" s="3"/>
    </row>
    <row r="84" ht="11.25" customHeight="1">
      <c r="A84" s="3"/>
      <c r="B84" s="2"/>
      <c r="C84" s="3"/>
      <c r="D84" s="3"/>
      <c r="E84" s="3"/>
      <c r="F84" s="4"/>
      <c r="G84" s="4"/>
      <c r="H84" s="4"/>
      <c r="I84" s="5"/>
      <c r="J84" s="4"/>
      <c r="K84" s="4"/>
      <c r="L84" s="6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3"/>
      <c r="AL84" s="3"/>
      <c r="AM84" s="3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8"/>
      <c r="BU84" s="8"/>
      <c r="BV84" s="8"/>
      <c r="BW84" s="8"/>
      <c r="BX84" s="3"/>
      <c r="BY84" s="3"/>
      <c r="BZ84" s="3"/>
      <c r="CA84" s="8"/>
      <c r="CB84" s="8"/>
      <c r="CC84" s="8"/>
      <c r="CD84" s="8"/>
      <c r="CE84" s="8"/>
      <c r="CF84" s="8"/>
      <c r="CG84" s="9"/>
      <c r="CH84" s="8"/>
      <c r="CI84" s="8"/>
      <c r="CJ84" s="8"/>
      <c r="CK84" s="8"/>
      <c r="CL84" s="8"/>
      <c r="CM84" s="8"/>
      <c r="CN84" s="8"/>
      <c r="CO84" s="8"/>
      <c r="CP84" s="8"/>
      <c r="CQ84" s="9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9"/>
      <c r="DG84" s="9"/>
      <c r="DH84" s="10"/>
      <c r="DI84" s="9"/>
      <c r="DJ84" s="9"/>
      <c r="DK84" s="3"/>
      <c r="DL84" s="3"/>
      <c r="DM84" s="3"/>
    </row>
    <row r="85" ht="11.25" customHeight="1">
      <c r="A85" s="3"/>
      <c r="B85" s="2"/>
      <c r="C85" s="3"/>
      <c r="D85" s="3"/>
      <c r="E85" s="3"/>
      <c r="F85" s="4"/>
      <c r="G85" s="4"/>
      <c r="H85" s="4"/>
      <c r="I85" s="5"/>
      <c r="J85" s="4"/>
      <c r="K85" s="4"/>
      <c r="L85" s="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3"/>
      <c r="AL85" s="3"/>
      <c r="AM85" s="3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8"/>
      <c r="BU85" s="8"/>
      <c r="BV85" s="8"/>
      <c r="BW85" s="8"/>
      <c r="BX85" s="3"/>
      <c r="BY85" s="3"/>
      <c r="BZ85" s="3"/>
      <c r="CA85" s="8"/>
      <c r="CB85" s="8"/>
      <c r="CC85" s="8"/>
      <c r="CD85" s="8"/>
      <c r="CE85" s="8"/>
      <c r="CF85" s="8"/>
      <c r="CG85" s="9"/>
      <c r="CH85" s="8"/>
      <c r="CI85" s="8"/>
      <c r="CJ85" s="8"/>
      <c r="CK85" s="8"/>
      <c r="CL85" s="8"/>
      <c r="CM85" s="8"/>
      <c r="CN85" s="8"/>
      <c r="CO85" s="8"/>
      <c r="CP85" s="8"/>
      <c r="CQ85" s="9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9"/>
      <c r="DG85" s="9"/>
      <c r="DH85" s="10"/>
      <c r="DI85" s="9"/>
      <c r="DJ85" s="9"/>
      <c r="DK85" s="3"/>
      <c r="DL85" s="3"/>
      <c r="DM85" s="3"/>
    </row>
    <row r="86" ht="11.25" customHeight="1">
      <c r="A86" s="3"/>
      <c r="B86" s="2"/>
      <c r="C86" s="3"/>
      <c r="D86" s="3"/>
      <c r="E86" s="3"/>
      <c r="F86" s="4"/>
      <c r="G86" s="4"/>
      <c r="H86" s="4"/>
      <c r="I86" s="5"/>
      <c r="J86" s="4"/>
      <c r="K86" s="4"/>
      <c r="L86" s="6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3"/>
      <c r="AL86" s="3"/>
      <c r="AM86" s="3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8"/>
      <c r="BU86" s="8"/>
      <c r="BV86" s="8"/>
      <c r="BW86" s="8"/>
      <c r="BX86" s="3"/>
      <c r="BY86" s="3"/>
      <c r="BZ86" s="3"/>
      <c r="CA86" s="8"/>
      <c r="CB86" s="8"/>
      <c r="CC86" s="8"/>
      <c r="CD86" s="8"/>
      <c r="CE86" s="8"/>
      <c r="CF86" s="8"/>
      <c r="CG86" s="9"/>
      <c r="CH86" s="8"/>
      <c r="CI86" s="8"/>
      <c r="CJ86" s="8"/>
      <c r="CK86" s="8"/>
      <c r="CL86" s="8"/>
      <c r="CM86" s="8"/>
      <c r="CN86" s="8"/>
      <c r="CO86" s="8"/>
      <c r="CP86" s="8"/>
      <c r="CQ86" s="9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9"/>
      <c r="DG86" s="9"/>
      <c r="DH86" s="10"/>
      <c r="DI86" s="9"/>
      <c r="DJ86" s="9"/>
      <c r="DK86" s="3"/>
      <c r="DL86" s="3"/>
      <c r="DM86" s="3"/>
    </row>
    <row r="87" ht="11.25" customHeight="1">
      <c r="A87" s="3"/>
      <c r="B87" s="2"/>
      <c r="C87" s="3"/>
      <c r="D87" s="3"/>
      <c r="E87" s="3"/>
      <c r="F87" s="4"/>
      <c r="G87" s="4"/>
      <c r="H87" s="4"/>
      <c r="I87" s="5"/>
      <c r="J87" s="4"/>
      <c r="K87" s="4"/>
      <c r="L87" s="6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3"/>
      <c r="AL87" s="3"/>
      <c r="AM87" s="3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8"/>
      <c r="BU87" s="8"/>
      <c r="BV87" s="8"/>
      <c r="BW87" s="8"/>
      <c r="BX87" s="3"/>
      <c r="BY87" s="3"/>
      <c r="BZ87" s="3"/>
      <c r="CA87" s="8"/>
      <c r="CB87" s="8"/>
      <c r="CC87" s="8"/>
      <c r="CD87" s="8"/>
      <c r="CE87" s="8"/>
      <c r="CF87" s="8"/>
      <c r="CG87" s="9"/>
      <c r="CH87" s="8"/>
      <c r="CI87" s="8"/>
      <c r="CJ87" s="8"/>
      <c r="CK87" s="8"/>
      <c r="CL87" s="8"/>
      <c r="CM87" s="8"/>
      <c r="CN87" s="8"/>
      <c r="CO87" s="8"/>
      <c r="CP87" s="8"/>
      <c r="CQ87" s="9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9"/>
      <c r="DG87" s="9"/>
      <c r="DH87" s="10"/>
      <c r="DI87" s="9"/>
      <c r="DJ87" s="9"/>
      <c r="DK87" s="3"/>
      <c r="DL87" s="3"/>
      <c r="DM87" s="3"/>
    </row>
    <row r="88" ht="11.25" customHeight="1">
      <c r="A88" s="3"/>
      <c r="B88" s="2"/>
      <c r="C88" s="3"/>
      <c r="D88" s="3"/>
      <c r="E88" s="3"/>
      <c r="F88" s="4"/>
      <c r="G88" s="4"/>
      <c r="H88" s="4"/>
      <c r="I88" s="5"/>
      <c r="J88" s="4"/>
      <c r="K88" s="4"/>
      <c r="L88" s="6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3"/>
      <c r="AL88" s="3"/>
      <c r="AM88" s="3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8"/>
      <c r="BU88" s="8"/>
      <c r="BV88" s="8"/>
      <c r="BW88" s="8"/>
      <c r="BX88" s="3"/>
      <c r="BY88" s="3"/>
      <c r="BZ88" s="3"/>
      <c r="CA88" s="8"/>
      <c r="CB88" s="8"/>
      <c r="CC88" s="8"/>
      <c r="CD88" s="8"/>
      <c r="CE88" s="8"/>
      <c r="CF88" s="8"/>
      <c r="CG88" s="9"/>
      <c r="CH88" s="8"/>
      <c r="CI88" s="8"/>
      <c r="CJ88" s="8"/>
      <c r="CK88" s="8"/>
      <c r="CL88" s="8"/>
      <c r="CM88" s="8"/>
      <c r="CN88" s="8"/>
      <c r="CO88" s="8"/>
      <c r="CP88" s="8"/>
      <c r="CQ88" s="9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9"/>
      <c r="DG88" s="9"/>
      <c r="DH88" s="10"/>
      <c r="DI88" s="9"/>
      <c r="DJ88" s="9"/>
      <c r="DK88" s="3"/>
      <c r="DL88" s="3"/>
      <c r="DM88" s="3"/>
    </row>
    <row r="89" ht="11.25" customHeight="1">
      <c r="A89" s="3"/>
      <c r="B89" s="2"/>
      <c r="C89" s="3"/>
      <c r="D89" s="3"/>
      <c r="E89" s="3"/>
      <c r="F89" s="4"/>
      <c r="G89" s="4"/>
      <c r="H89" s="4"/>
      <c r="I89" s="5"/>
      <c r="J89" s="4"/>
      <c r="K89" s="4"/>
      <c r="L89" s="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3"/>
      <c r="AL89" s="3"/>
      <c r="AM89" s="3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8"/>
      <c r="BU89" s="8"/>
      <c r="BV89" s="8"/>
      <c r="BW89" s="8"/>
      <c r="BX89" s="3"/>
      <c r="BY89" s="3"/>
      <c r="BZ89" s="3"/>
      <c r="CA89" s="8"/>
      <c r="CB89" s="8"/>
      <c r="CC89" s="8"/>
      <c r="CD89" s="8"/>
      <c r="CE89" s="8"/>
      <c r="CF89" s="8"/>
      <c r="CG89" s="9"/>
      <c r="CH89" s="8"/>
      <c r="CI89" s="8"/>
      <c r="CJ89" s="8"/>
      <c r="CK89" s="8"/>
      <c r="CL89" s="8"/>
      <c r="CM89" s="8"/>
      <c r="CN89" s="8"/>
      <c r="CO89" s="8"/>
      <c r="CP89" s="8"/>
      <c r="CQ89" s="9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9"/>
      <c r="DG89" s="9"/>
      <c r="DH89" s="10"/>
      <c r="DI89" s="9"/>
      <c r="DJ89" s="9"/>
      <c r="DK89" s="3"/>
      <c r="DL89" s="3"/>
      <c r="DM89" s="3"/>
    </row>
    <row r="90" ht="11.25" customHeight="1">
      <c r="A90" s="3"/>
      <c r="B90" s="2"/>
      <c r="C90" s="3"/>
      <c r="D90" s="3"/>
      <c r="E90" s="3"/>
      <c r="F90" s="4"/>
      <c r="G90" s="4"/>
      <c r="H90" s="4"/>
      <c r="I90" s="5"/>
      <c r="J90" s="4"/>
      <c r="K90" s="4"/>
      <c r="L90" s="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3"/>
      <c r="AL90" s="3"/>
      <c r="AM90" s="3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8"/>
      <c r="BU90" s="8"/>
      <c r="BV90" s="8"/>
      <c r="BW90" s="8"/>
      <c r="BX90" s="3"/>
      <c r="BY90" s="3"/>
      <c r="BZ90" s="3"/>
      <c r="CA90" s="8"/>
      <c r="CB90" s="8"/>
      <c r="CC90" s="8"/>
      <c r="CD90" s="8"/>
      <c r="CE90" s="8"/>
      <c r="CF90" s="8"/>
      <c r="CG90" s="9"/>
      <c r="CH90" s="8"/>
      <c r="CI90" s="8"/>
      <c r="CJ90" s="8"/>
      <c r="CK90" s="8"/>
      <c r="CL90" s="8"/>
      <c r="CM90" s="8"/>
      <c r="CN90" s="8"/>
      <c r="CO90" s="8"/>
      <c r="CP90" s="8"/>
      <c r="CQ90" s="9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9"/>
      <c r="DG90" s="9"/>
      <c r="DH90" s="10"/>
      <c r="DI90" s="9"/>
      <c r="DJ90" s="9"/>
      <c r="DK90" s="3"/>
      <c r="DL90" s="3"/>
      <c r="DM90" s="3"/>
    </row>
    <row r="91" ht="11.25" customHeight="1">
      <c r="A91" s="3"/>
      <c r="B91" s="2"/>
      <c r="C91" s="3"/>
      <c r="D91" s="3"/>
      <c r="E91" s="3"/>
      <c r="F91" s="4"/>
      <c r="G91" s="4"/>
      <c r="H91" s="4"/>
      <c r="I91" s="5"/>
      <c r="J91" s="4"/>
      <c r="K91" s="4"/>
      <c r="L91" s="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3"/>
      <c r="AL91" s="3"/>
      <c r="AM91" s="3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8"/>
      <c r="BU91" s="8"/>
      <c r="BV91" s="8"/>
      <c r="BW91" s="8"/>
      <c r="BX91" s="3"/>
      <c r="BY91" s="3"/>
      <c r="BZ91" s="3"/>
      <c r="CA91" s="8"/>
      <c r="CB91" s="8"/>
      <c r="CC91" s="8"/>
      <c r="CD91" s="8"/>
      <c r="CE91" s="8"/>
      <c r="CF91" s="8"/>
      <c r="CG91" s="9"/>
      <c r="CH91" s="8"/>
      <c r="CI91" s="8"/>
      <c r="CJ91" s="8"/>
      <c r="CK91" s="8"/>
      <c r="CL91" s="8"/>
      <c r="CM91" s="8"/>
      <c r="CN91" s="8"/>
      <c r="CO91" s="8"/>
      <c r="CP91" s="8"/>
      <c r="CQ91" s="9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9"/>
      <c r="DG91" s="9"/>
      <c r="DH91" s="10"/>
      <c r="DI91" s="9"/>
      <c r="DJ91" s="9"/>
      <c r="DK91" s="3"/>
      <c r="DL91" s="3"/>
      <c r="DM91" s="3"/>
    </row>
    <row r="92" ht="11.25" customHeight="1">
      <c r="A92" s="3"/>
      <c r="B92" s="2"/>
      <c r="C92" s="3"/>
      <c r="D92" s="3"/>
      <c r="E92" s="3"/>
      <c r="F92" s="4"/>
      <c r="G92" s="4"/>
      <c r="H92" s="4"/>
      <c r="I92" s="5"/>
      <c r="J92" s="4"/>
      <c r="K92" s="4"/>
      <c r="L92" s="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3"/>
      <c r="AL92" s="3"/>
      <c r="AM92" s="3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8"/>
      <c r="BU92" s="8"/>
      <c r="BV92" s="8"/>
      <c r="BW92" s="8"/>
      <c r="BX92" s="3"/>
      <c r="BY92" s="3"/>
      <c r="BZ92" s="3"/>
      <c r="CA92" s="8"/>
      <c r="CB92" s="8"/>
      <c r="CC92" s="8"/>
      <c r="CD92" s="8"/>
      <c r="CE92" s="8"/>
      <c r="CF92" s="8"/>
      <c r="CG92" s="9"/>
      <c r="CH92" s="8"/>
      <c r="CI92" s="8"/>
      <c r="CJ92" s="8"/>
      <c r="CK92" s="8"/>
      <c r="CL92" s="8"/>
      <c r="CM92" s="8"/>
      <c r="CN92" s="8"/>
      <c r="CO92" s="8"/>
      <c r="CP92" s="8"/>
      <c r="CQ92" s="9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9"/>
      <c r="DG92" s="9"/>
      <c r="DH92" s="10"/>
      <c r="DI92" s="9"/>
      <c r="DJ92" s="9"/>
      <c r="DK92" s="3"/>
      <c r="DL92" s="3"/>
      <c r="DM92" s="3"/>
    </row>
    <row r="93" ht="11.25" customHeight="1">
      <c r="A93" s="3"/>
      <c r="B93" s="2"/>
      <c r="C93" s="3"/>
      <c r="D93" s="3"/>
      <c r="E93" s="3"/>
      <c r="F93" s="4"/>
      <c r="G93" s="4"/>
      <c r="H93" s="4"/>
      <c r="I93" s="5"/>
      <c r="J93" s="4"/>
      <c r="K93" s="4"/>
      <c r="L93" s="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3"/>
      <c r="AL93" s="3"/>
      <c r="AM93" s="3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8"/>
      <c r="BU93" s="8"/>
      <c r="BV93" s="8"/>
      <c r="BW93" s="8"/>
      <c r="BX93" s="3"/>
      <c r="BY93" s="3"/>
      <c r="BZ93" s="3"/>
      <c r="CA93" s="8"/>
      <c r="CB93" s="8"/>
      <c r="CC93" s="8"/>
      <c r="CD93" s="8"/>
      <c r="CE93" s="8"/>
      <c r="CF93" s="8"/>
      <c r="CG93" s="9"/>
      <c r="CH93" s="8"/>
      <c r="CI93" s="8"/>
      <c r="CJ93" s="8"/>
      <c r="CK93" s="8"/>
      <c r="CL93" s="8"/>
      <c r="CM93" s="8"/>
      <c r="CN93" s="8"/>
      <c r="CO93" s="8"/>
      <c r="CP93" s="8"/>
      <c r="CQ93" s="9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9"/>
      <c r="DG93" s="9"/>
      <c r="DH93" s="10"/>
      <c r="DI93" s="9"/>
      <c r="DJ93" s="9"/>
      <c r="DK93" s="3"/>
      <c r="DL93" s="3"/>
      <c r="DM93" s="3"/>
    </row>
    <row r="94" ht="11.25" customHeight="1">
      <c r="A94" s="3"/>
      <c r="B94" s="2"/>
      <c r="C94" s="3"/>
      <c r="D94" s="3"/>
      <c r="E94" s="3"/>
      <c r="F94" s="4"/>
      <c r="G94" s="4"/>
      <c r="H94" s="4"/>
      <c r="I94" s="5"/>
      <c r="J94" s="4"/>
      <c r="K94" s="4"/>
      <c r="L94" s="6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3"/>
      <c r="AL94" s="3"/>
      <c r="AM94" s="3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8"/>
      <c r="BU94" s="8"/>
      <c r="BV94" s="8"/>
      <c r="BW94" s="8"/>
      <c r="BX94" s="3"/>
      <c r="BY94" s="3"/>
      <c r="BZ94" s="3"/>
      <c r="CA94" s="8"/>
      <c r="CB94" s="8"/>
      <c r="CC94" s="8"/>
      <c r="CD94" s="8"/>
      <c r="CE94" s="8"/>
      <c r="CF94" s="8"/>
      <c r="CG94" s="9"/>
      <c r="CH94" s="8"/>
      <c r="CI94" s="8"/>
      <c r="CJ94" s="8"/>
      <c r="CK94" s="8"/>
      <c r="CL94" s="8"/>
      <c r="CM94" s="8"/>
      <c r="CN94" s="8"/>
      <c r="CO94" s="8"/>
      <c r="CP94" s="8"/>
      <c r="CQ94" s="9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9"/>
      <c r="DG94" s="9"/>
      <c r="DH94" s="10"/>
      <c r="DI94" s="9"/>
      <c r="DJ94" s="9"/>
      <c r="DK94" s="3"/>
      <c r="DL94" s="3"/>
      <c r="DM94" s="3"/>
    </row>
    <row r="95" ht="11.25" customHeight="1">
      <c r="A95" s="3"/>
      <c r="B95" s="2"/>
      <c r="C95" s="3"/>
      <c r="D95" s="3"/>
      <c r="E95" s="3"/>
      <c r="F95" s="4"/>
      <c r="G95" s="4"/>
      <c r="H95" s="4"/>
      <c r="I95" s="5"/>
      <c r="J95" s="4"/>
      <c r="K95" s="4"/>
      <c r="L95" s="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3"/>
      <c r="AL95" s="3"/>
      <c r="AM95" s="3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8"/>
      <c r="BU95" s="8"/>
      <c r="BV95" s="8"/>
      <c r="BW95" s="8"/>
      <c r="BX95" s="3"/>
      <c r="BY95" s="3"/>
      <c r="BZ95" s="3"/>
      <c r="CA95" s="8"/>
      <c r="CB95" s="8"/>
      <c r="CC95" s="8"/>
      <c r="CD95" s="8"/>
      <c r="CE95" s="8"/>
      <c r="CF95" s="8"/>
      <c r="CG95" s="9"/>
      <c r="CH95" s="8"/>
      <c r="CI95" s="8"/>
      <c r="CJ95" s="8"/>
      <c r="CK95" s="8"/>
      <c r="CL95" s="8"/>
      <c r="CM95" s="8"/>
      <c r="CN95" s="8"/>
      <c r="CO95" s="8"/>
      <c r="CP95" s="8"/>
      <c r="CQ95" s="9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9"/>
      <c r="DG95" s="9"/>
      <c r="DH95" s="10"/>
      <c r="DI95" s="9"/>
      <c r="DJ95" s="9"/>
      <c r="DK95" s="3"/>
      <c r="DL95" s="3"/>
      <c r="DM95" s="3"/>
    </row>
    <row r="96" ht="11.25" customHeight="1">
      <c r="A96" s="3"/>
      <c r="B96" s="2"/>
      <c r="C96" s="3"/>
      <c r="D96" s="3"/>
      <c r="E96" s="3"/>
      <c r="F96" s="4"/>
      <c r="G96" s="4"/>
      <c r="H96" s="4"/>
      <c r="I96" s="5"/>
      <c r="J96" s="4"/>
      <c r="K96" s="4"/>
      <c r="L96" s="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3"/>
      <c r="AL96" s="3"/>
      <c r="AM96" s="3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8"/>
      <c r="BU96" s="8"/>
      <c r="BV96" s="8"/>
      <c r="BW96" s="8"/>
      <c r="BX96" s="3"/>
      <c r="BY96" s="3"/>
      <c r="BZ96" s="3"/>
      <c r="CA96" s="8"/>
      <c r="CB96" s="8"/>
      <c r="CC96" s="8"/>
      <c r="CD96" s="8"/>
      <c r="CE96" s="8"/>
      <c r="CF96" s="8"/>
      <c r="CG96" s="9"/>
      <c r="CH96" s="8"/>
      <c r="CI96" s="8"/>
      <c r="CJ96" s="8"/>
      <c r="CK96" s="8"/>
      <c r="CL96" s="8"/>
      <c r="CM96" s="8"/>
      <c r="CN96" s="8"/>
      <c r="CO96" s="8"/>
      <c r="CP96" s="8"/>
      <c r="CQ96" s="9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9"/>
      <c r="DG96" s="9"/>
      <c r="DH96" s="10"/>
      <c r="DI96" s="9"/>
      <c r="DJ96" s="9"/>
      <c r="DK96" s="3"/>
      <c r="DL96" s="3"/>
      <c r="DM96" s="3"/>
    </row>
    <row r="97" ht="11.25" customHeight="1">
      <c r="A97" s="3"/>
      <c r="B97" s="2"/>
      <c r="C97" s="3"/>
      <c r="D97" s="3"/>
      <c r="E97" s="3"/>
      <c r="F97" s="4"/>
      <c r="G97" s="4"/>
      <c r="H97" s="4"/>
      <c r="I97" s="5"/>
      <c r="J97" s="4"/>
      <c r="K97" s="4"/>
      <c r="L97" s="6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3"/>
      <c r="AL97" s="3"/>
      <c r="AM97" s="3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8"/>
      <c r="BU97" s="8"/>
      <c r="BV97" s="8"/>
      <c r="BW97" s="8"/>
      <c r="BX97" s="3"/>
      <c r="BY97" s="3"/>
      <c r="BZ97" s="3"/>
      <c r="CA97" s="8"/>
      <c r="CB97" s="8"/>
      <c r="CC97" s="8"/>
      <c r="CD97" s="8"/>
      <c r="CE97" s="8"/>
      <c r="CF97" s="8"/>
      <c r="CG97" s="9"/>
      <c r="CH97" s="8"/>
      <c r="CI97" s="8"/>
      <c r="CJ97" s="8"/>
      <c r="CK97" s="8"/>
      <c r="CL97" s="8"/>
      <c r="CM97" s="8"/>
      <c r="CN97" s="8"/>
      <c r="CO97" s="8"/>
      <c r="CP97" s="8"/>
      <c r="CQ97" s="9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9"/>
      <c r="DG97" s="9"/>
      <c r="DH97" s="10"/>
      <c r="DI97" s="9"/>
      <c r="DJ97" s="9"/>
      <c r="DK97" s="3"/>
      <c r="DL97" s="3"/>
      <c r="DM97" s="3"/>
    </row>
    <row r="98" ht="11.25" customHeight="1">
      <c r="A98" s="3"/>
      <c r="B98" s="2"/>
      <c r="C98" s="3"/>
      <c r="D98" s="3"/>
      <c r="E98" s="3"/>
      <c r="F98" s="4"/>
      <c r="G98" s="4"/>
      <c r="H98" s="4"/>
      <c r="I98" s="5"/>
      <c r="J98" s="4"/>
      <c r="K98" s="4"/>
      <c r="L98" s="6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3"/>
      <c r="AL98" s="3"/>
      <c r="AM98" s="3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8"/>
      <c r="BU98" s="8"/>
      <c r="BV98" s="8"/>
      <c r="BW98" s="8"/>
      <c r="BX98" s="3"/>
      <c r="BY98" s="3"/>
      <c r="BZ98" s="3"/>
      <c r="CA98" s="8"/>
      <c r="CB98" s="8"/>
      <c r="CC98" s="8"/>
      <c r="CD98" s="8"/>
      <c r="CE98" s="8"/>
      <c r="CF98" s="8"/>
      <c r="CG98" s="9"/>
      <c r="CH98" s="8"/>
      <c r="CI98" s="8"/>
      <c r="CJ98" s="8"/>
      <c r="CK98" s="8"/>
      <c r="CL98" s="8"/>
      <c r="CM98" s="8"/>
      <c r="CN98" s="8"/>
      <c r="CO98" s="8"/>
      <c r="CP98" s="8"/>
      <c r="CQ98" s="9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9"/>
      <c r="DG98" s="9"/>
      <c r="DH98" s="10"/>
      <c r="DI98" s="9"/>
      <c r="DJ98" s="9"/>
      <c r="DK98" s="3"/>
      <c r="DL98" s="3"/>
      <c r="DM98" s="3"/>
    </row>
    <row r="99" ht="11.25" customHeight="1">
      <c r="A99" s="3"/>
      <c r="B99" s="2"/>
      <c r="C99" s="3"/>
      <c r="D99" s="3"/>
      <c r="E99" s="3"/>
      <c r="F99" s="4"/>
      <c r="G99" s="4"/>
      <c r="H99" s="4"/>
      <c r="I99" s="5"/>
      <c r="J99" s="4"/>
      <c r="K99" s="4"/>
      <c r="L99" s="6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3"/>
      <c r="AL99" s="3"/>
      <c r="AM99" s="3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8"/>
      <c r="BU99" s="8"/>
      <c r="BV99" s="8"/>
      <c r="BW99" s="8"/>
      <c r="BX99" s="3"/>
      <c r="BY99" s="3"/>
      <c r="BZ99" s="3"/>
      <c r="CA99" s="8"/>
      <c r="CB99" s="8"/>
      <c r="CC99" s="8"/>
      <c r="CD99" s="8"/>
      <c r="CE99" s="8"/>
      <c r="CF99" s="8"/>
      <c r="CG99" s="9"/>
      <c r="CH99" s="8"/>
      <c r="CI99" s="8"/>
      <c r="CJ99" s="8"/>
      <c r="CK99" s="8"/>
      <c r="CL99" s="8"/>
      <c r="CM99" s="8"/>
      <c r="CN99" s="8"/>
      <c r="CO99" s="8"/>
      <c r="CP99" s="8"/>
      <c r="CQ99" s="9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9"/>
      <c r="DG99" s="9"/>
      <c r="DH99" s="10"/>
      <c r="DI99" s="9"/>
      <c r="DJ99" s="9"/>
      <c r="DK99" s="3"/>
      <c r="DL99" s="3"/>
      <c r="DM99" s="3"/>
    </row>
    <row r="100" ht="11.25" customHeight="1">
      <c r="A100" s="3"/>
      <c r="B100" s="2"/>
      <c r="C100" s="3"/>
      <c r="D100" s="3"/>
      <c r="E100" s="3"/>
      <c r="F100" s="4"/>
      <c r="G100" s="4"/>
      <c r="H100" s="4"/>
      <c r="I100" s="5"/>
      <c r="J100" s="4"/>
      <c r="K100" s="4"/>
      <c r="L100" s="6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3"/>
      <c r="AL100" s="3"/>
      <c r="AM100" s="3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8"/>
      <c r="BU100" s="8"/>
      <c r="BV100" s="8"/>
      <c r="BW100" s="8"/>
      <c r="BX100" s="3"/>
      <c r="BY100" s="3"/>
      <c r="BZ100" s="3"/>
      <c r="CA100" s="8"/>
      <c r="CB100" s="8"/>
      <c r="CC100" s="8"/>
      <c r="CD100" s="8"/>
      <c r="CE100" s="8"/>
      <c r="CF100" s="8"/>
      <c r="CG100" s="9"/>
      <c r="CH100" s="8"/>
      <c r="CI100" s="8"/>
      <c r="CJ100" s="8"/>
      <c r="CK100" s="8"/>
      <c r="CL100" s="8"/>
      <c r="CM100" s="8"/>
      <c r="CN100" s="8"/>
      <c r="CO100" s="8"/>
      <c r="CP100" s="8"/>
      <c r="CQ100" s="9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9"/>
      <c r="DG100" s="9"/>
      <c r="DH100" s="10"/>
      <c r="DI100" s="9"/>
      <c r="DJ100" s="9"/>
      <c r="DK100" s="3"/>
      <c r="DL100" s="3"/>
      <c r="DM100" s="3"/>
    </row>
    <row r="101" ht="11.25" customHeight="1">
      <c r="A101" s="3"/>
      <c r="B101" s="2"/>
      <c r="C101" s="3"/>
      <c r="D101" s="3"/>
      <c r="E101" s="3"/>
      <c r="F101" s="4"/>
      <c r="G101" s="4"/>
      <c r="H101" s="4"/>
      <c r="I101" s="5"/>
      <c r="J101" s="4"/>
      <c r="K101" s="4"/>
      <c r="L101" s="6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3"/>
      <c r="AL101" s="3"/>
      <c r="AM101" s="3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8"/>
      <c r="BU101" s="8"/>
      <c r="BV101" s="8"/>
      <c r="BW101" s="8"/>
      <c r="BX101" s="3"/>
      <c r="BY101" s="3"/>
      <c r="BZ101" s="3"/>
      <c r="CA101" s="8"/>
      <c r="CB101" s="8"/>
      <c r="CC101" s="8"/>
      <c r="CD101" s="8"/>
      <c r="CE101" s="8"/>
      <c r="CF101" s="8"/>
      <c r="CG101" s="9"/>
      <c r="CH101" s="8"/>
      <c r="CI101" s="8"/>
      <c r="CJ101" s="8"/>
      <c r="CK101" s="8"/>
      <c r="CL101" s="8"/>
      <c r="CM101" s="8"/>
      <c r="CN101" s="8"/>
      <c r="CO101" s="8"/>
      <c r="CP101" s="8"/>
      <c r="CQ101" s="9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9"/>
      <c r="DG101" s="9"/>
      <c r="DH101" s="10"/>
      <c r="DI101" s="9"/>
      <c r="DJ101" s="9"/>
      <c r="DK101" s="3"/>
      <c r="DL101" s="3"/>
      <c r="DM101" s="3"/>
    </row>
    <row r="102" ht="11.25" customHeight="1">
      <c r="A102" s="3"/>
      <c r="B102" s="2"/>
      <c r="C102" s="3"/>
      <c r="D102" s="3"/>
      <c r="E102" s="3"/>
      <c r="F102" s="4"/>
      <c r="G102" s="4"/>
      <c r="H102" s="4"/>
      <c r="I102" s="5"/>
      <c r="J102" s="4"/>
      <c r="K102" s="4"/>
      <c r="L102" s="6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3"/>
      <c r="AL102" s="3"/>
      <c r="AM102" s="3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8"/>
      <c r="BU102" s="8"/>
      <c r="BV102" s="8"/>
      <c r="BW102" s="8"/>
      <c r="BX102" s="3"/>
      <c r="BY102" s="3"/>
      <c r="BZ102" s="3"/>
      <c r="CA102" s="8"/>
      <c r="CB102" s="8"/>
      <c r="CC102" s="8"/>
      <c r="CD102" s="8"/>
      <c r="CE102" s="8"/>
      <c r="CF102" s="8"/>
      <c r="CG102" s="9"/>
      <c r="CH102" s="8"/>
      <c r="CI102" s="8"/>
      <c r="CJ102" s="8"/>
      <c r="CK102" s="8"/>
      <c r="CL102" s="8"/>
      <c r="CM102" s="8"/>
      <c r="CN102" s="8"/>
      <c r="CO102" s="8"/>
      <c r="CP102" s="8"/>
      <c r="CQ102" s="9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9"/>
      <c r="DG102" s="9"/>
      <c r="DH102" s="10"/>
      <c r="DI102" s="9"/>
      <c r="DJ102" s="9"/>
      <c r="DK102" s="3"/>
      <c r="DL102" s="3"/>
      <c r="DM102" s="3"/>
    </row>
    <row r="103" ht="11.25" customHeight="1">
      <c r="A103" s="3"/>
      <c r="B103" s="2"/>
      <c r="C103" s="3"/>
      <c r="D103" s="3"/>
      <c r="E103" s="3"/>
      <c r="F103" s="4"/>
      <c r="G103" s="4"/>
      <c r="H103" s="4"/>
      <c r="I103" s="5"/>
      <c r="J103" s="4"/>
      <c r="K103" s="4"/>
      <c r="L103" s="6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3"/>
      <c r="AL103" s="3"/>
      <c r="AM103" s="3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8"/>
      <c r="BU103" s="8"/>
      <c r="BV103" s="8"/>
      <c r="BW103" s="8"/>
      <c r="BX103" s="3"/>
      <c r="BY103" s="3"/>
      <c r="BZ103" s="3"/>
      <c r="CA103" s="8"/>
      <c r="CB103" s="8"/>
      <c r="CC103" s="8"/>
      <c r="CD103" s="8"/>
      <c r="CE103" s="8"/>
      <c r="CF103" s="8"/>
      <c r="CG103" s="9"/>
      <c r="CH103" s="8"/>
      <c r="CI103" s="8"/>
      <c r="CJ103" s="8"/>
      <c r="CK103" s="8"/>
      <c r="CL103" s="8"/>
      <c r="CM103" s="8"/>
      <c r="CN103" s="8"/>
      <c r="CO103" s="8"/>
      <c r="CP103" s="8"/>
      <c r="CQ103" s="9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9"/>
      <c r="DG103" s="9"/>
      <c r="DH103" s="10"/>
      <c r="DI103" s="9"/>
      <c r="DJ103" s="9"/>
      <c r="DK103" s="3"/>
      <c r="DL103" s="3"/>
      <c r="DM103" s="3"/>
    </row>
    <row r="104" ht="11.25" customHeight="1">
      <c r="A104" s="3"/>
      <c r="B104" s="2"/>
      <c r="C104" s="3"/>
      <c r="D104" s="3"/>
      <c r="E104" s="3"/>
      <c r="F104" s="4"/>
      <c r="G104" s="4"/>
      <c r="H104" s="4"/>
      <c r="I104" s="5"/>
      <c r="J104" s="4"/>
      <c r="K104" s="4"/>
      <c r="L104" s="6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3"/>
      <c r="AL104" s="3"/>
      <c r="AM104" s="3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8"/>
      <c r="BU104" s="8"/>
      <c r="BV104" s="8"/>
      <c r="BW104" s="8"/>
      <c r="BX104" s="3"/>
      <c r="BY104" s="3"/>
      <c r="BZ104" s="3"/>
      <c r="CA104" s="8"/>
      <c r="CB104" s="8"/>
      <c r="CC104" s="8"/>
      <c r="CD104" s="8"/>
      <c r="CE104" s="8"/>
      <c r="CF104" s="8"/>
      <c r="CG104" s="9"/>
      <c r="CH104" s="8"/>
      <c r="CI104" s="8"/>
      <c r="CJ104" s="8"/>
      <c r="CK104" s="8"/>
      <c r="CL104" s="8"/>
      <c r="CM104" s="8"/>
      <c r="CN104" s="8"/>
      <c r="CO104" s="8"/>
      <c r="CP104" s="8"/>
      <c r="CQ104" s="9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9"/>
      <c r="DG104" s="9"/>
      <c r="DH104" s="10"/>
      <c r="DI104" s="9"/>
      <c r="DJ104" s="9"/>
      <c r="DK104" s="3"/>
      <c r="DL104" s="3"/>
      <c r="DM104" s="3"/>
    </row>
    <row r="105" ht="11.25" customHeight="1">
      <c r="A105" s="3"/>
      <c r="B105" s="2"/>
      <c r="C105" s="3"/>
      <c r="D105" s="3"/>
      <c r="E105" s="3"/>
      <c r="F105" s="4"/>
      <c r="G105" s="4"/>
      <c r="H105" s="4"/>
      <c r="I105" s="5"/>
      <c r="J105" s="4"/>
      <c r="K105" s="4"/>
      <c r="L105" s="6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3"/>
      <c r="AL105" s="3"/>
      <c r="AM105" s="3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8"/>
      <c r="BU105" s="8"/>
      <c r="BV105" s="8"/>
      <c r="BW105" s="8"/>
      <c r="BX105" s="3"/>
      <c r="BY105" s="3"/>
      <c r="BZ105" s="3"/>
      <c r="CA105" s="8"/>
      <c r="CB105" s="8"/>
      <c r="CC105" s="8"/>
      <c r="CD105" s="8"/>
      <c r="CE105" s="8"/>
      <c r="CF105" s="8"/>
      <c r="CG105" s="9"/>
      <c r="CH105" s="8"/>
      <c r="CI105" s="8"/>
      <c r="CJ105" s="8"/>
      <c r="CK105" s="8"/>
      <c r="CL105" s="8"/>
      <c r="CM105" s="8"/>
      <c r="CN105" s="8"/>
      <c r="CO105" s="8"/>
      <c r="CP105" s="8"/>
      <c r="CQ105" s="9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9"/>
      <c r="DG105" s="9"/>
      <c r="DH105" s="10"/>
      <c r="DI105" s="9"/>
      <c r="DJ105" s="9"/>
      <c r="DK105" s="3"/>
      <c r="DL105" s="3"/>
      <c r="DM105" s="3"/>
    </row>
    <row r="106" ht="11.25" customHeight="1">
      <c r="A106" s="3"/>
      <c r="B106" s="2"/>
      <c r="C106" s="3"/>
      <c r="D106" s="3"/>
      <c r="E106" s="3"/>
      <c r="F106" s="4"/>
      <c r="G106" s="4"/>
      <c r="H106" s="4"/>
      <c r="I106" s="5"/>
      <c r="J106" s="4"/>
      <c r="K106" s="4"/>
      <c r="L106" s="6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3"/>
      <c r="AL106" s="3"/>
      <c r="AM106" s="3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8"/>
      <c r="BU106" s="8"/>
      <c r="BV106" s="8"/>
      <c r="BW106" s="8"/>
      <c r="BX106" s="3"/>
      <c r="BY106" s="3"/>
      <c r="BZ106" s="3"/>
      <c r="CA106" s="8"/>
      <c r="CB106" s="8"/>
      <c r="CC106" s="8"/>
      <c r="CD106" s="8"/>
      <c r="CE106" s="8"/>
      <c r="CF106" s="8"/>
      <c r="CG106" s="9"/>
      <c r="CH106" s="8"/>
      <c r="CI106" s="8"/>
      <c r="CJ106" s="8"/>
      <c r="CK106" s="8"/>
      <c r="CL106" s="8"/>
      <c r="CM106" s="8"/>
      <c r="CN106" s="8"/>
      <c r="CO106" s="8"/>
      <c r="CP106" s="8"/>
      <c r="CQ106" s="9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9"/>
      <c r="DG106" s="9"/>
      <c r="DH106" s="10"/>
      <c r="DI106" s="9"/>
      <c r="DJ106" s="9"/>
      <c r="DK106" s="3"/>
      <c r="DL106" s="3"/>
      <c r="DM106" s="3"/>
    </row>
    <row r="107" ht="11.25" customHeight="1">
      <c r="A107" s="3"/>
      <c r="B107" s="2"/>
      <c r="C107" s="3"/>
      <c r="D107" s="3"/>
      <c r="E107" s="3"/>
      <c r="F107" s="4"/>
      <c r="G107" s="4"/>
      <c r="H107" s="4"/>
      <c r="I107" s="5"/>
      <c r="J107" s="4"/>
      <c r="K107" s="4"/>
      <c r="L107" s="6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3"/>
      <c r="AL107" s="3"/>
      <c r="AM107" s="3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8"/>
      <c r="BU107" s="8"/>
      <c r="BV107" s="8"/>
      <c r="BW107" s="8"/>
      <c r="BX107" s="3"/>
      <c r="BY107" s="3"/>
      <c r="BZ107" s="3"/>
      <c r="CA107" s="8"/>
      <c r="CB107" s="8"/>
      <c r="CC107" s="8"/>
      <c r="CD107" s="8"/>
      <c r="CE107" s="8"/>
      <c r="CF107" s="8"/>
      <c r="CG107" s="9"/>
      <c r="CH107" s="8"/>
      <c r="CI107" s="8"/>
      <c r="CJ107" s="8"/>
      <c r="CK107" s="8"/>
      <c r="CL107" s="8"/>
      <c r="CM107" s="8"/>
      <c r="CN107" s="8"/>
      <c r="CO107" s="8"/>
      <c r="CP107" s="8"/>
      <c r="CQ107" s="9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9"/>
      <c r="DG107" s="9"/>
      <c r="DH107" s="10"/>
      <c r="DI107" s="9"/>
      <c r="DJ107" s="9"/>
      <c r="DK107" s="3"/>
      <c r="DL107" s="3"/>
      <c r="DM107" s="3"/>
    </row>
    <row r="108" ht="11.25" customHeight="1">
      <c r="A108" s="3"/>
      <c r="B108" s="2"/>
      <c r="C108" s="3"/>
      <c r="D108" s="3"/>
      <c r="E108" s="3"/>
      <c r="F108" s="4"/>
      <c r="G108" s="4"/>
      <c r="H108" s="4"/>
      <c r="I108" s="5"/>
      <c r="J108" s="4"/>
      <c r="K108" s="4"/>
      <c r="L108" s="6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3"/>
      <c r="AL108" s="3"/>
      <c r="AM108" s="3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8"/>
      <c r="BU108" s="8"/>
      <c r="BV108" s="8"/>
      <c r="BW108" s="8"/>
      <c r="BX108" s="3"/>
      <c r="BY108" s="3"/>
      <c r="BZ108" s="3"/>
      <c r="CA108" s="8"/>
      <c r="CB108" s="8"/>
      <c r="CC108" s="8"/>
      <c r="CD108" s="8"/>
      <c r="CE108" s="8"/>
      <c r="CF108" s="8"/>
      <c r="CG108" s="9"/>
      <c r="CH108" s="8"/>
      <c r="CI108" s="8"/>
      <c r="CJ108" s="8"/>
      <c r="CK108" s="8"/>
      <c r="CL108" s="8"/>
      <c r="CM108" s="8"/>
      <c r="CN108" s="8"/>
      <c r="CO108" s="8"/>
      <c r="CP108" s="8"/>
      <c r="CQ108" s="9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9"/>
      <c r="DG108" s="9"/>
      <c r="DH108" s="10"/>
      <c r="DI108" s="9"/>
      <c r="DJ108" s="9"/>
      <c r="DK108" s="3"/>
      <c r="DL108" s="3"/>
      <c r="DM108" s="3"/>
    </row>
    <row r="109" ht="11.25" customHeight="1">
      <c r="A109" s="3"/>
      <c r="B109" s="2"/>
      <c r="C109" s="3"/>
      <c r="D109" s="3"/>
      <c r="E109" s="3"/>
      <c r="F109" s="4"/>
      <c r="G109" s="4"/>
      <c r="H109" s="4"/>
      <c r="I109" s="5"/>
      <c r="J109" s="4"/>
      <c r="K109" s="4"/>
      <c r="L109" s="6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3"/>
      <c r="AL109" s="3"/>
      <c r="AM109" s="3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8"/>
      <c r="BU109" s="8"/>
      <c r="BV109" s="8"/>
      <c r="BW109" s="8"/>
      <c r="BX109" s="3"/>
      <c r="BY109" s="3"/>
      <c r="BZ109" s="3"/>
      <c r="CA109" s="8"/>
      <c r="CB109" s="8"/>
      <c r="CC109" s="8"/>
      <c r="CD109" s="8"/>
      <c r="CE109" s="8"/>
      <c r="CF109" s="8"/>
      <c r="CG109" s="9"/>
      <c r="CH109" s="8"/>
      <c r="CI109" s="8"/>
      <c r="CJ109" s="8"/>
      <c r="CK109" s="8"/>
      <c r="CL109" s="8"/>
      <c r="CM109" s="8"/>
      <c r="CN109" s="8"/>
      <c r="CO109" s="8"/>
      <c r="CP109" s="8"/>
      <c r="CQ109" s="9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9"/>
      <c r="DG109" s="9"/>
      <c r="DH109" s="10"/>
      <c r="DI109" s="9"/>
      <c r="DJ109" s="9"/>
      <c r="DK109" s="3"/>
      <c r="DL109" s="3"/>
      <c r="DM109" s="3"/>
    </row>
    <row r="110" ht="11.25" customHeight="1">
      <c r="A110" s="3"/>
      <c r="B110" s="2"/>
      <c r="C110" s="3"/>
      <c r="D110" s="3"/>
      <c r="E110" s="3"/>
      <c r="F110" s="4"/>
      <c r="G110" s="4"/>
      <c r="H110" s="4"/>
      <c r="I110" s="5"/>
      <c r="J110" s="4"/>
      <c r="K110" s="4"/>
      <c r="L110" s="6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3"/>
      <c r="AL110" s="3"/>
      <c r="AM110" s="3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8"/>
      <c r="BU110" s="8"/>
      <c r="BV110" s="8"/>
      <c r="BW110" s="8"/>
      <c r="BX110" s="3"/>
      <c r="BY110" s="3"/>
      <c r="BZ110" s="3"/>
      <c r="CA110" s="8"/>
      <c r="CB110" s="8"/>
      <c r="CC110" s="8"/>
      <c r="CD110" s="8"/>
      <c r="CE110" s="8"/>
      <c r="CF110" s="8"/>
      <c r="CG110" s="9"/>
      <c r="CH110" s="8"/>
      <c r="CI110" s="8"/>
      <c r="CJ110" s="8"/>
      <c r="CK110" s="8"/>
      <c r="CL110" s="8"/>
      <c r="CM110" s="8"/>
      <c r="CN110" s="8"/>
      <c r="CO110" s="8"/>
      <c r="CP110" s="8"/>
      <c r="CQ110" s="9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9"/>
      <c r="DG110" s="9"/>
      <c r="DH110" s="10"/>
      <c r="DI110" s="9"/>
      <c r="DJ110" s="9"/>
      <c r="DK110" s="3"/>
      <c r="DL110" s="3"/>
      <c r="DM110" s="3"/>
    </row>
    <row r="111" ht="11.25" customHeight="1">
      <c r="A111" s="3"/>
      <c r="B111" s="2"/>
      <c r="C111" s="3"/>
      <c r="D111" s="3"/>
      <c r="E111" s="3"/>
      <c r="F111" s="4"/>
      <c r="G111" s="4"/>
      <c r="H111" s="4"/>
      <c r="I111" s="5"/>
      <c r="J111" s="4"/>
      <c r="K111" s="4"/>
      <c r="L111" s="6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3"/>
      <c r="AL111" s="3"/>
      <c r="AM111" s="3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8"/>
      <c r="BU111" s="8"/>
      <c r="BV111" s="8"/>
      <c r="BW111" s="8"/>
      <c r="BX111" s="3"/>
      <c r="BY111" s="3"/>
      <c r="BZ111" s="3"/>
      <c r="CA111" s="8"/>
      <c r="CB111" s="8"/>
      <c r="CC111" s="8"/>
      <c r="CD111" s="8"/>
      <c r="CE111" s="8"/>
      <c r="CF111" s="8"/>
      <c r="CG111" s="9"/>
      <c r="CH111" s="8"/>
      <c r="CI111" s="8"/>
      <c r="CJ111" s="8"/>
      <c r="CK111" s="8"/>
      <c r="CL111" s="8"/>
      <c r="CM111" s="8"/>
      <c r="CN111" s="8"/>
      <c r="CO111" s="8"/>
      <c r="CP111" s="8"/>
      <c r="CQ111" s="9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9"/>
      <c r="DG111" s="9"/>
      <c r="DH111" s="10"/>
      <c r="DI111" s="9"/>
      <c r="DJ111" s="9"/>
      <c r="DK111" s="3"/>
      <c r="DL111" s="3"/>
      <c r="DM111" s="3"/>
    </row>
    <row r="112" ht="11.25" customHeight="1">
      <c r="A112" s="3"/>
      <c r="B112" s="2"/>
      <c r="C112" s="3"/>
      <c r="D112" s="3"/>
      <c r="E112" s="3"/>
      <c r="F112" s="4"/>
      <c r="G112" s="4"/>
      <c r="H112" s="4"/>
      <c r="I112" s="5"/>
      <c r="J112" s="4"/>
      <c r="K112" s="4"/>
      <c r="L112" s="6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3"/>
      <c r="AL112" s="3"/>
      <c r="AM112" s="3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8"/>
      <c r="BU112" s="8"/>
      <c r="BV112" s="8"/>
      <c r="BW112" s="8"/>
      <c r="BX112" s="3"/>
      <c r="BY112" s="3"/>
      <c r="BZ112" s="3"/>
      <c r="CA112" s="8"/>
      <c r="CB112" s="8"/>
      <c r="CC112" s="8"/>
      <c r="CD112" s="8"/>
      <c r="CE112" s="8"/>
      <c r="CF112" s="8"/>
      <c r="CG112" s="9"/>
      <c r="CH112" s="8"/>
      <c r="CI112" s="8"/>
      <c r="CJ112" s="8"/>
      <c r="CK112" s="8"/>
      <c r="CL112" s="8"/>
      <c r="CM112" s="8"/>
      <c r="CN112" s="8"/>
      <c r="CO112" s="8"/>
      <c r="CP112" s="8"/>
      <c r="CQ112" s="9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9"/>
      <c r="DG112" s="9"/>
      <c r="DH112" s="10"/>
      <c r="DI112" s="9"/>
      <c r="DJ112" s="9"/>
      <c r="DK112" s="3"/>
      <c r="DL112" s="3"/>
      <c r="DM112" s="3"/>
    </row>
    <row r="113" ht="11.25" customHeight="1">
      <c r="A113" s="3"/>
      <c r="B113" s="2"/>
      <c r="C113" s="3"/>
      <c r="D113" s="3"/>
      <c r="E113" s="3"/>
      <c r="F113" s="4"/>
      <c r="G113" s="4"/>
      <c r="H113" s="4"/>
      <c r="I113" s="5"/>
      <c r="J113" s="4"/>
      <c r="K113" s="4"/>
      <c r="L113" s="6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3"/>
      <c r="AL113" s="3"/>
      <c r="AM113" s="3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8"/>
      <c r="BU113" s="8"/>
      <c r="BV113" s="8"/>
      <c r="BW113" s="8"/>
      <c r="BX113" s="3"/>
      <c r="BY113" s="3"/>
      <c r="BZ113" s="3"/>
      <c r="CA113" s="8"/>
      <c r="CB113" s="8"/>
      <c r="CC113" s="8"/>
      <c r="CD113" s="8"/>
      <c r="CE113" s="8"/>
      <c r="CF113" s="8"/>
      <c r="CG113" s="9"/>
      <c r="CH113" s="8"/>
      <c r="CI113" s="8"/>
      <c r="CJ113" s="8"/>
      <c r="CK113" s="8"/>
      <c r="CL113" s="8"/>
      <c r="CM113" s="8"/>
      <c r="CN113" s="8"/>
      <c r="CO113" s="8"/>
      <c r="CP113" s="8"/>
      <c r="CQ113" s="9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9"/>
      <c r="DG113" s="9"/>
      <c r="DH113" s="10"/>
      <c r="DI113" s="9"/>
      <c r="DJ113" s="9"/>
      <c r="DK113" s="3"/>
      <c r="DL113" s="3"/>
      <c r="DM113" s="3"/>
    </row>
    <row r="114" ht="11.25" customHeight="1">
      <c r="A114" s="3"/>
      <c r="B114" s="2"/>
      <c r="C114" s="3"/>
      <c r="D114" s="3"/>
      <c r="E114" s="3"/>
      <c r="F114" s="4"/>
      <c r="G114" s="4"/>
      <c r="H114" s="4"/>
      <c r="I114" s="5"/>
      <c r="J114" s="4"/>
      <c r="K114" s="4"/>
      <c r="L114" s="6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3"/>
      <c r="AL114" s="3"/>
      <c r="AM114" s="3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8"/>
      <c r="BU114" s="8"/>
      <c r="BV114" s="8"/>
      <c r="BW114" s="8"/>
      <c r="BX114" s="3"/>
      <c r="BY114" s="3"/>
      <c r="BZ114" s="3"/>
      <c r="CA114" s="8"/>
      <c r="CB114" s="8"/>
      <c r="CC114" s="8"/>
      <c r="CD114" s="8"/>
      <c r="CE114" s="8"/>
      <c r="CF114" s="8"/>
      <c r="CG114" s="9"/>
      <c r="CH114" s="8"/>
      <c r="CI114" s="8"/>
      <c r="CJ114" s="8"/>
      <c r="CK114" s="8"/>
      <c r="CL114" s="8"/>
      <c r="CM114" s="8"/>
      <c r="CN114" s="8"/>
      <c r="CO114" s="8"/>
      <c r="CP114" s="8"/>
      <c r="CQ114" s="9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9"/>
      <c r="DG114" s="9"/>
      <c r="DH114" s="10"/>
      <c r="DI114" s="9"/>
      <c r="DJ114" s="9"/>
      <c r="DK114" s="3"/>
      <c r="DL114" s="3"/>
      <c r="DM114" s="3"/>
    </row>
    <row r="115" ht="11.25" customHeight="1">
      <c r="A115" s="3"/>
      <c r="B115" s="2"/>
      <c r="C115" s="3"/>
      <c r="D115" s="3"/>
      <c r="E115" s="3"/>
      <c r="F115" s="4"/>
      <c r="G115" s="4"/>
      <c r="H115" s="4"/>
      <c r="I115" s="5"/>
      <c r="J115" s="4"/>
      <c r="K115" s="4"/>
      <c r="L115" s="6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3"/>
      <c r="AL115" s="3"/>
      <c r="AM115" s="3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8"/>
      <c r="BU115" s="8"/>
      <c r="BV115" s="8"/>
      <c r="BW115" s="8"/>
      <c r="BX115" s="3"/>
      <c r="BY115" s="3"/>
      <c r="BZ115" s="3"/>
      <c r="CA115" s="8"/>
      <c r="CB115" s="8"/>
      <c r="CC115" s="8"/>
      <c r="CD115" s="8"/>
      <c r="CE115" s="8"/>
      <c r="CF115" s="8"/>
      <c r="CG115" s="9"/>
      <c r="CH115" s="8"/>
      <c r="CI115" s="8"/>
      <c r="CJ115" s="8"/>
      <c r="CK115" s="8"/>
      <c r="CL115" s="8"/>
      <c r="CM115" s="8"/>
      <c r="CN115" s="8"/>
      <c r="CO115" s="8"/>
      <c r="CP115" s="8"/>
      <c r="CQ115" s="9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9"/>
      <c r="DG115" s="9"/>
      <c r="DH115" s="10"/>
      <c r="DI115" s="9"/>
      <c r="DJ115" s="9"/>
      <c r="DK115" s="3"/>
      <c r="DL115" s="3"/>
      <c r="DM115" s="3"/>
    </row>
    <row r="116" ht="11.25" customHeight="1">
      <c r="A116" s="3"/>
      <c r="B116" s="2"/>
      <c r="C116" s="3"/>
      <c r="D116" s="3"/>
      <c r="E116" s="3"/>
      <c r="F116" s="4"/>
      <c r="G116" s="4"/>
      <c r="H116" s="4"/>
      <c r="I116" s="5"/>
      <c r="J116" s="4"/>
      <c r="K116" s="4"/>
      <c r="L116" s="6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3"/>
      <c r="AL116" s="3"/>
      <c r="AM116" s="3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8"/>
      <c r="BU116" s="8"/>
      <c r="BV116" s="8"/>
      <c r="BW116" s="8"/>
      <c r="BX116" s="3"/>
      <c r="BY116" s="3"/>
      <c r="BZ116" s="3"/>
      <c r="CA116" s="8"/>
      <c r="CB116" s="8"/>
      <c r="CC116" s="8"/>
      <c r="CD116" s="8"/>
      <c r="CE116" s="8"/>
      <c r="CF116" s="8"/>
      <c r="CG116" s="9"/>
      <c r="CH116" s="8"/>
      <c r="CI116" s="8"/>
      <c r="CJ116" s="8"/>
      <c r="CK116" s="8"/>
      <c r="CL116" s="8"/>
      <c r="CM116" s="8"/>
      <c r="CN116" s="8"/>
      <c r="CO116" s="8"/>
      <c r="CP116" s="8"/>
      <c r="CQ116" s="9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9"/>
      <c r="DG116" s="9"/>
      <c r="DH116" s="10"/>
      <c r="DI116" s="9"/>
      <c r="DJ116" s="9"/>
      <c r="DK116" s="3"/>
      <c r="DL116" s="3"/>
      <c r="DM116" s="3"/>
    </row>
    <row r="117" ht="11.25" customHeight="1">
      <c r="A117" s="3"/>
      <c r="B117" s="2"/>
      <c r="C117" s="3"/>
      <c r="D117" s="3"/>
      <c r="E117" s="3"/>
      <c r="F117" s="4"/>
      <c r="G117" s="4"/>
      <c r="H117" s="4"/>
      <c r="I117" s="5"/>
      <c r="J117" s="4"/>
      <c r="K117" s="4"/>
      <c r="L117" s="6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3"/>
      <c r="AL117" s="3"/>
      <c r="AM117" s="3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8"/>
      <c r="BU117" s="8"/>
      <c r="BV117" s="8"/>
      <c r="BW117" s="8"/>
      <c r="BX117" s="3"/>
      <c r="BY117" s="3"/>
      <c r="BZ117" s="3"/>
      <c r="CA117" s="8"/>
      <c r="CB117" s="8"/>
      <c r="CC117" s="8"/>
      <c r="CD117" s="8"/>
      <c r="CE117" s="8"/>
      <c r="CF117" s="8"/>
      <c r="CG117" s="9"/>
      <c r="CH117" s="8"/>
      <c r="CI117" s="8"/>
      <c r="CJ117" s="8"/>
      <c r="CK117" s="8"/>
      <c r="CL117" s="8"/>
      <c r="CM117" s="8"/>
      <c r="CN117" s="8"/>
      <c r="CO117" s="8"/>
      <c r="CP117" s="8"/>
      <c r="CQ117" s="9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9"/>
      <c r="DG117" s="9"/>
      <c r="DH117" s="10"/>
      <c r="DI117" s="9"/>
      <c r="DJ117" s="9"/>
      <c r="DK117" s="3"/>
      <c r="DL117" s="3"/>
      <c r="DM117" s="3"/>
    </row>
    <row r="118" ht="11.25" customHeight="1">
      <c r="A118" s="3"/>
      <c r="B118" s="2"/>
      <c r="C118" s="3"/>
      <c r="D118" s="3"/>
      <c r="E118" s="3"/>
      <c r="F118" s="4"/>
      <c r="G118" s="4"/>
      <c r="H118" s="4"/>
      <c r="I118" s="5"/>
      <c r="J118" s="4"/>
      <c r="K118" s="4"/>
      <c r="L118" s="6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3"/>
      <c r="AL118" s="3"/>
      <c r="AM118" s="3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8"/>
      <c r="BU118" s="8"/>
      <c r="BV118" s="8"/>
      <c r="BW118" s="8"/>
      <c r="BX118" s="3"/>
      <c r="BY118" s="3"/>
      <c r="BZ118" s="3"/>
      <c r="CA118" s="8"/>
      <c r="CB118" s="8"/>
      <c r="CC118" s="8"/>
      <c r="CD118" s="8"/>
      <c r="CE118" s="8"/>
      <c r="CF118" s="8"/>
      <c r="CG118" s="9"/>
      <c r="CH118" s="8"/>
      <c r="CI118" s="8"/>
      <c r="CJ118" s="8"/>
      <c r="CK118" s="8"/>
      <c r="CL118" s="8"/>
      <c r="CM118" s="8"/>
      <c r="CN118" s="8"/>
      <c r="CO118" s="8"/>
      <c r="CP118" s="8"/>
      <c r="CQ118" s="9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9"/>
      <c r="DG118" s="9"/>
      <c r="DH118" s="10"/>
      <c r="DI118" s="9"/>
      <c r="DJ118" s="9"/>
      <c r="DK118" s="3"/>
      <c r="DL118" s="3"/>
      <c r="DM118" s="3"/>
    </row>
    <row r="119" ht="11.25" customHeight="1">
      <c r="A119" s="3"/>
      <c r="B119" s="2"/>
      <c r="C119" s="3"/>
      <c r="D119" s="3"/>
      <c r="E119" s="3"/>
      <c r="F119" s="4"/>
      <c r="G119" s="4"/>
      <c r="H119" s="4"/>
      <c r="I119" s="5"/>
      <c r="J119" s="4"/>
      <c r="K119" s="4"/>
      <c r="L119" s="6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3"/>
      <c r="AL119" s="3"/>
      <c r="AM119" s="3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8"/>
      <c r="BU119" s="8"/>
      <c r="BV119" s="8"/>
      <c r="BW119" s="8"/>
      <c r="BX119" s="3"/>
      <c r="BY119" s="3"/>
      <c r="BZ119" s="3"/>
      <c r="CA119" s="8"/>
      <c r="CB119" s="8"/>
      <c r="CC119" s="8"/>
      <c r="CD119" s="8"/>
      <c r="CE119" s="8"/>
      <c r="CF119" s="8"/>
      <c r="CG119" s="9"/>
      <c r="CH119" s="8"/>
      <c r="CI119" s="8"/>
      <c r="CJ119" s="8"/>
      <c r="CK119" s="8"/>
      <c r="CL119" s="8"/>
      <c r="CM119" s="8"/>
      <c r="CN119" s="8"/>
      <c r="CO119" s="8"/>
      <c r="CP119" s="8"/>
      <c r="CQ119" s="9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9"/>
      <c r="DG119" s="9"/>
      <c r="DH119" s="10"/>
      <c r="DI119" s="9"/>
      <c r="DJ119" s="9"/>
      <c r="DK119" s="3"/>
      <c r="DL119" s="3"/>
      <c r="DM119" s="3"/>
    </row>
    <row r="120" ht="11.25" customHeight="1">
      <c r="A120" s="3"/>
      <c r="B120" s="2"/>
      <c r="C120" s="3"/>
      <c r="D120" s="3"/>
      <c r="E120" s="3"/>
      <c r="F120" s="4"/>
      <c r="G120" s="4"/>
      <c r="H120" s="4"/>
      <c r="I120" s="5"/>
      <c r="J120" s="4"/>
      <c r="K120" s="4"/>
      <c r="L120" s="6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3"/>
      <c r="AL120" s="3"/>
      <c r="AM120" s="3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8"/>
      <c r="BU120" s="8"/>
      <c r="BV120" s="8"/>
      <c r="BW120" s="8"/>
      <c r="BX120" s="3"/>
      <c r="BY120" s="3"/>
      <c r="BZ120" s="3"/>
      <c r="CA120" s="8"/>
      <c r="CB120" s="8"/>
      <c r="CC120" s="8"/>
      <c r="CD120" s="8"/>
      <c r="CE120" s="8"/>
      <c r="CF120" s="8"/>
      <c r="CG120" s="9"/>
      <c r="CH120" s="8"/>
      <c r="CI120" s="8"/>
      <c r="CJ120" s="8"/>
      <c r="CK120" s="8"/>
      <c r="CL120" s="8"/>
      <c r="CM120" s="8"/>
      <c r="CN120" s="8"/>
      <c r="CO120" s="8"/>
      <c r="CP120" s="8"/>
      <c r="CQ120" s="9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9"/>
      <c r="DG120" s="9"/>
      <c r="DH120" s="10"/>
      <c r="DI120" s="9"/>
      <c r="DJ120" s="9"/>
      <c r="DK120" s="3"/>
      <c r="DL120" s="3"/>
      <c r="DM120" s="3"/>
    </row>
    <row r="121" ht="11.25" customHeight="1">
      <c r="A121" s="3"/>
      <c r="B121" s="2"/>
      <c r="C121" s="3"/>
      <c r="D121" s="3"/>
      <c r="E121" s="3"/>
      <c r="F121" s="4"/>
      <c r="G121" s="4"/>
      <c r="H121" s="4"/>
      <c r="I121" s="5"/>
      <c r="J121" s="4"/>
      <c r="K121" s="4"/>
      <c r="L121" s="6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3"/>
      <c r="AL121" s="3"/>
      <c r="AM121" s="3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8"/>
      <c r="BU121" s="8"/>
      <c r="BV121" s="8"/>
      <c r="BW121" s="8"/>
      <c r="BX121" s="3"/>
      <c r="BY121" s="3"/>
      <c r="BZ121" s="3"/>
      <c r="CA121" s="8"/>
      <c r="CB121" s="8"/>
      <c r="CC121" s="8"/>
      <c r="CD121" s="8"/>
      <c r="CE121" s="8"/>
      <c r="CF121" s="8"/>
      <c r="CG121" s="9"/>
      <c r="CH121" s="8"/>
      <c r="CI121" s="8"/>
      <c r="CJ121" s="8"/>
      <c r="CK121" s="8"/>
      <c r="CL121" s="8"/>
      <c r="CM121" s="8"/>
      <c r="CN121" s="8"/>
      <c r="CO121" s="8"/>
      <c r="CP121" s="8"/>
      <c r="CQ121" s="9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9"/>
      <c r="DG121" s="9"/>
      <c r="DH121" s="10"/>
      <c r="DI121" s="9"/>
      <c r="DJ121" s="9"/>
      <c r="DK121" s="3"/>
      <c r="DL121" s="3"/>
      <c r="DM121" s="3"/>
    </row>
    <row r="122" ht="11.25" customHeight="1">
      <c r="A122" s="3"/>
      <c r="B122" s="2"/>
      <c r="C122" s="3"/>
      <c r="D122" s="3"/>
      <c r="E122" s="3"/>
      <c r="F122" s="4"/>
      <c r="G122" s="4"/>
      <c r="H122" s="4"/>
      <c r="I122" s="5"/>
      <c r="J122" s="4"/>
      <c r="K122" s="4"/>
      <c r="L122" s="6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3"/>
      <c r="AL122" s="3"/>
      <c r="AM122" s="3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8"/>
      <c r="BU122" s="8"/>
      <c r="BV122" s="8"/>
      <c r="BW122" s="8"/>
      <c r="BX122" s="3"/>
      <c r="BY122" s="3"/>
      <c r="BZ122" s="3"/>
      <c r="CA122" s="8"/>
      <c r="CB122" s="8"/>
      <c r="CC122" s="8"/>
      <c r="CD122" s="8"/>
      <c r="CE122" s="8"/>
      <c r="CF122" s="8"/>
      <c r="CG122" s="9"/>
      <c r="CH122" s="8"/>
      <c r="CI122" s="8"/>
      <c r="CJ122" s="8"/>
      <c r="CK122" s="8"/>
      <c r="CL122" s="8"/>
      <c r="CM122" s="8"/>
      <c r="CN122" s="8"/>
      <c r="CO122" s="8"/>
      <c r="CP122" s="8"/>
      <c r="CQ122" s="9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9"/>
      <c r="DG122" s="9"/>
      <c r="DH122" s="10"/>
      <c r="DI122" s="9"/>
      <c r="DJ122" s="9"/>
      <c r="DK122" s="3"/>
      <c r="DL122" s="3"/>
      <c r="DM122" s="3"/>
    </row>
    <row r="123" ht="11.25" customHeight="1">
      <c r="A123" s="3"/>
      <c r="B123" s="2"/>
      <c r="C123" s="3"/>
      <c r="D123" s="3"/>
      <c r="E123" s="3"/>
      <c r="F123" s="4"/>
      <c r="G123" s="4"/>
      <c r="H123" s="4"/>
      <c r="I123" s="5"/>
      <c r="J123" s="4"/>
      <c r="K123" s="4"/>
      <c r="L123" s="6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3"/>
      <c r="AL123" s="3"/>
      <c r="AM123" s="3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8"/>
      <c r="BU123" s="8"/>
      <c r="BV123" s="8"/>
      <c r="BW123" s="8"/>
      <c r="BX123" s="3"/>
      <c r="BY123" s="3"/>
      <c r="BZ123" s="3"/>
      <c r="CA123" s="8"/>
      <c r="CB123" s="8"/>
      <c r="CC123" s="8"/>
      <c r="CD123" s="8"/>
      <c r="CE123" s="8"/>
      <c r="CF123" s="8"/>
      <c r="CG123" s="9"/>
      <c r="CH123" s="8"/>
      <c r="CI123" s="8"/>
      <c r="CJ123" s="8"/>
      <c r="CK123" s="8"/>
      <c r="CL123" s="8"/>
      <c r="CM123" s="8"/>
      <c r="CN123" s="8"/>
      <c r="CO123" s="8"/>
      <c r="CP123" s="8"/>
      <c r="CQ123" s="9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9"/>
      <c r="DG123" s="9"/>
      <c r="DH123" s="10"/>
      <c r="DI123" s="9"/>
      <c r="DJ123" s="9"/>
      <c r="DK123" s="3"/>
      <c r="DL123" s="3"/>
      <c r="DM123" s="3"/>
    </row>
    <row r="124" ht="11.25" customHeight="1">
      <c r="A124" s="3"/>
      <c r="B124" s="2"/>
      <c r="C124" s="3"/>
      <c r="D124" s="3"/>
      <c r="E124" s="3"/>
      <c r="F124" s="4"/>
      <c r="G124" s="4"/>
      <c r="H124" s="4"/>
      <c r="I124" s="5"/>
      <c r="J124" s="4"/>
      <c r="K124" s="4"/>
      <c r="L124" s="6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3"/>
      <c r="AL124" s="3"/>
      <c r="AM124" s="3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8"/>
      <c r="BU124" s="8"/>
      <c r="BV124" s="8"/>
      <c r="BW124" s="8"/>
      <c r="BX124" s="3"/>
      <c r="BY124" s="3"/>
      <c r="BZ124" s="3"/>
      <c r="CA124" s="8"/>
      <c r="CB124" s="8"/>
      <c r="CC124" s="8"/>
      <c r="CD124" s="8"/>
      <c r="CE124" s="8"/>
      <c r="CF124" s="8"/>
      <c r="CG124" s="9"/>
      <c r="CH124" s="8"/>
      <c r="CI124" s="8"/>
      <c r="CJ124" s="8"/>
      <c r="CK124" s="8"/>
      <c r="CL124" s="8"/>
      <c r="CM124" s="8"/>
      <c r="CN124" s="8"/>
      <c r="CO124" s="8"/>
      <c r="CP124" s="8"/>
      <c r="CQ124" s="9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9"/>
      <c r="DG124" s="9"/>
      <c r="DH124" s="10"/>
      <c r="DI124" s="9"/>
      <c r="DJ124" s="9"/>
      <c r="DK124" s="3"/>
      <c r="DL124" s="3"/>
      <c r="DM124" s="3"/>
    </row>
    <row r="125" ht="11.25" customHeight="1">
      <c r="A125" s="3"/>
      <c r="B125" s="2"/>
      <c r="C125" s="3"/>
      <c r="D125" s="3"/>
      <c r="E125" s="3"/>
      <c r="F125" s="4"/>
      <c r="G125" s="4"/>
      <c r="H125" s="4"/>
      <c r="I125" s="5"/>
      <c r="J125" s="4"/>
      <c r="K125" s="4"/>
      <c r="L125" s="6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3"/>
      <c r="AL125" s="3"/>
      <c r="AM125" s="3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8"/>
      <c r="BU125" s="8"/>
      <c r="BV125" s="8"/>
      <c r="BW125" s="8"/>
      <c r="BX125" s="3"/>
      <c r="BY125" s="3"/>
      <c r="BZ125" s="3"/>
      <c r="CA125" s="8"/>
      <c r="CB125" s="8"/>
      <c r="CC125" s="8"/>
      <c r="CD125" s="8"/>
      <c r="CE125" s="8"/>
      <c r="CF125" s="8"/>
      <c r="CG125" s="9"/>
      <c r="CH125" s="8"/>
      <c r="CI125" s="8"/>
      <c r="CJ125" s="8"/>
      <c r="CK125" s="8"/>
      <c r="CL125" s="8"/>
      <c r="CM125" s="8"/>
      <c r="CN125" s="8"/>
      <c r="CO125" s="8"/>
      <c r="CP125" s="8"/>
      <c r="CQ125" s="9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9"/>
      <c r="DG125" s="9"/>
      <c r="DH125" s="10"/>
      <c r="DI125" s="9"/>
      <c r="DJ125" s="9"/>
      <c r="DK125" s="3"/>
      <c r="DL125" s="3"/>
      <c r="DM125" s="3"/>
    </row>
    <row r="126" ht="11.25" customHeight="1">
      <c r="A126" s="3"/>
      <c r="B126" s="2"/>
      <c r="C126" s="3"/>
      <c r="D126" s="3"/>
      <c r="E126" s="3"/>
      <c r="F126" s="4"/>
      <c r="G126" s="4"/>
      <c r="H126" s="4"/>
      <c r="I126" s="5"/>
      <c r="J126" s="4"/>
      <c r="K126" s="4"/>
      <c r="L126" s="6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3"/>
      <c r="AL126" s="3"/>
      <c r="AM126" s="3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8"/>
      <c r="BU126" s="8"/>
      <c r="BV126" s="8"/>
      <c r="BW126" s="8"/>
      <c r="BX126" s="3"/>
      <c r="BY126" s="3"/>
      <c r="BZ126" s="3"/>
      <c r="CA126" s="8"/>
      <c r="CB126" s="8"/>
      <c r="CC126" s="8"/>
      <c r="CD126" s="8"/>
      <c r="CE126" s="8"/>
      <c r="CF126" s="8"/>
      <c r="CG126" s="9"/>
      <c r="CH126" s="8"/>
      <c r="CI126" s="8"/>
      <c r="CJ126" s="8"/>
      <c r="CK126" s="8"/>
      <c r="CL126" s="8"/>
      <c r="CM126" s="8"/>
      <c r="CN126" s="8"/>
      <c r="CO126" s="8"/>
      <c r="CP126" s="8"/>
      <c r="CQ126" s="9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9"/>
      <c r="DG126" s="9"/>
      <c r="DH126" s="10"/>
      <c r="DI126" s="9"/>
      <c r="DJ126" s="9"/>
      <c r="DK126" s="3"/>
      <c r="DL126" s="3"/>
      <c r="DM126" s="3"/>
    </row>
    <row r="127" ht="11.25" customHeight="1">
      <c r="A127" s="3"/>
      <c r="B127" s="2"/>
      <c r="C127" s="3"/>
      <c r="D127" s="3"/>
      <c r="E127" s="3"/>
      <c r="F127" s="4"/>
      <c r="G127" s="4"/>
      <c r="H127" s="4"/>
      <c r="I127" s="5"/>
      <c r="J127" s="4"/>
      <c r="K127" s="4"/>
      <c r="L127" s="6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3"/>
      <c r="AL127" s="3"/>
      <c r="AM127" s="3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8"/>
      <c r="BU127" s="8"/>
      <c r="BV127" s="8"/>
      <c r="BW127" s="8"/>
      <c r="BX127" s="3"/>
      <c r="BY127" s="3"/>
      <c r="BZ127" s="3"/>
      <c r="CA127" s="8"/>
      <c r="CB127" s="8"/>
      <c r="CC127" s="8"/>
      <c r="CD127" s="8"/>
      <c r="CE127" s="8"/>
      <c r="CF127" s="8"/>
      <c r="CG127" s="9"/>
      <c r="CH127" s="8"/>
      <c r="CI127" s="8"/>
      <c r="CJ127" s="8"/>
      <c r="CK127" s="8"/>
      <c r="CL127" s="8"/>
      <c r="CM127" s="8"/>
      <c r="CN127" s="8"/>
      <c r="CO127" s="8"/>
      <c r="CP127" s="8"/>
      <c r="CQ127" s="9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9"/>
      <c r="DG127" s="9"/>
      <c r="DH127" s="10"/>
      <c r="DI127" s="9"/>
      <c r="DJ127" s="9"/>
      <c r="DK127" s="3"/>
      <c r="DL127" s="3"/>
      <c r="DM127" s="3"/>
    </row>
    <row r="128" ht="11.25" customHeight="1">
      <c r="A128" s="3"/>
      <c r="B128" s="2"/>
      <c r="C128" s="3"/>
      <c r="D128" s="3"/>
      <c r="E128" s="3"/>
      <c r="F128" s="4"/>
      <c r="G128" s="4"/>
      <c r="H128" s="4"/>
      <c r="I128" s="5"/>
      <c r="J128" s="4"/>
      <c r="K128" s="4"/>
      <c r="L128" s="6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3"/>
      <c r="AL128" s="3"/>
      <c r="AM128" s="3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8"/>
      <c r="BU128" s="8"/>
      <c r="BV128" s="8"/>
      <c r="BW128" s="8"/>
      <c r="BX128" s="3"/>
      <c r="BY128" s="3"/>
      <c r="BZ128" s="3"/>
      <c r="CA128" s="8"/>
      <c r="CB128" s="8"/>
      <c r="CC128" s="8"/>
      <c r="CD128" s="8"/>
      <c r="CE128" s="8"/>
      <c r="CF128" s="8"/>
      <c r="CG128" s="9"/>
      <c r="CH128" s="8"/>
      <c r="CI128" s="8"/>
      <c r="CJ128" s="8"/>
      <c r="CK128" s="8"/>
      <c r="CL128" s="8"/>
      <c r="CM128" s="8"/>
      <c r="CN128" s="8"/>
      <c r="CO128" s="8"/>
      <c r="CP128" s="8"/>
      <c r="CQ128" s="9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9"/>
      <c r="DG128" s="9"/>
      <c r="DH128" s="10"/>
      <c r="DI128" s="9"/>
      <c r="DJ128" s="9"/>
      <c r="DK128" s="3"/>
      <c r="DL128" s="3"/>
      <c r="DM128" s="3"/>
    </row>
    <row r="129" ht="11.25" customHeight="1">
      <c r="A129" s="3"/>
      <c r="B129" s="2"/>
      <c r="C129" s="3"/>
      <c r="D129" s="3"/>
      <c r="E129" s="3"/>
      <c r="F129" s="4"/>
      <c r="G129" s="4"/>
      <c r="H129" s="4"/>
      <c r="I129" s="5"/>
      <c r="J129" s="4"/>
      <c r="K129" s="4"/>
      <c r="L129" s="6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3"/>
      <c r="AL129" s="3"/>
      <c r="AM129" s="3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8"/>
      <c r="BU129" s="8"/>
      <c r="BV129" s="8"/>
      <c r="BW129" s="8"/>
      <c r="BX129" s="3"/>
      <c r="BY129" s="3"/>
      <c r="BZ129" s="3"/>
      <c r="CA129" s="8"/>
      <c r="CB129" s="8"/>
      <c r="CC129" s="8"/>
      <c r="CD129" s="8"/>
      <c r="CE129" s="8"/>
      <c r="CF129" s="8"/>
      <c r="CG129" s="9"/>
      <c r="CH129" s="8"/>
      <c r="CI129" s="8"/>
      <c r="CJ129" s="8"/>
      <c r="CK129" s="8"/>
      <c r="CL129" s="8"/>
      <c r="CM129" s="8"/>
      <c r="CN129" s="8"/>
      <c r="CO129" s="8"/>
      <c r="CP129" s="8"/>
      <c r="CQ129" s="9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9"/>
      <c r="DG129" s="9"/>
      <c r="DH129" s="10"/>
      <c r="DI129" s="9"/>
      <c r="DJ129" s="9"/>
      <c r="DK129" s="3"/>
      <c r="DL129" s="3"/>
      <c r="DM129" s="3"/>
    </row>
    <row r="130" ht="11.25" customHeight="1">
      <c r="A130" s="3"/>
      <c r="B130" s="2"/>
      <c r="C130" s="3"/>
      <c r="D130" s="3"/>
      <c r="E130" s="3"/>
      <c r="F130" s="4"/>
      <c r="G130" s="4"/>
      <c r="H130" s="4"/>
      <c r="I130" s="5"/>
      <c r="J130" s="4"/>
      <c r="K130" s="4"/>
      <c r="L130" s="6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3"/>
      <c r="AL130" s="3"/>
      <c r="AM130" s="3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8"/>
      <c r="BU130" s="8"/>
      <c r="BV130" s="8"/>
      <c r="BW130" s="8"/>
      <c r="BX130" s="3"/>
      <c r="BY130" s="3"/>
      <c r="BZ130" s="3"/>
      <c r="CA130" s="8"/>
      <c r="CB130" s="8"/>
      <c r="CC130" s="8"/>
      <c r="CD130" s="8"/>
      <c r="CE130" s="8"/>
      <c r="CF130" s="8"/>
      <c r="CG130" s="9"/>
      <c r="CH130" s="8"/>
      <c r="CI130" s="8"/>
      <c r="CJ130" s="8"/>
      <c r="CK130" s="8"/>
      <c r="CL130" s="8"/>
      <c r="CM130" s="8"/>
      <c r="CN130" s="8"/>
      <c r="CO130" s="8"/>
      <c r="CP130" s="8"/>
      <c r="CQ130" s="9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9"/>
      <c r="DG130" s="9"/>
      <c r="DH130" s="10"/>
      <c r="DI130" s="9"/>
      <c r="DJ130" s="9"/>
      <c r="DK130" s="3"/>
      <c r="DL130" s="3"/>
      <c r="DM130" s="3"/>
    </row>
    <row r="131" ht="11.25" customHeight="1">
      <c r="A131" s="3"/>
      <c r="B131" s="2"/>
      <c r="C131" s="3"/>
      <c r="D131" s="3"/>
      <c r="E131" s="3"/>
      <c r="F131" s="4"/>
      <c r="G131" s="4"/>
      <c r="H131" s="4"/>
      <c r="I131" s="5"/>
      <c r="J131" s="4"/>
      <c r="K131" s="4"/>
      <c r="L131" s="6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3"/>
      <c r="AL131" s="3"/>
      <c r="AM131" s="3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8"/>
      <c r="BU131" s="8"/>
      <c r="BV131" s="8"/>
      <c r="BW131" s="8"/>
      <c r="BX131" s="3"/>
      <c r="BY131" s="3"/>
      <c r="BZ131" s="3"/>
      <c r="CA131" s="8"/>
      <c r="CB131" s="8"/>
      <c r="CC131" s="8"/>
      <c r="CD131" s="8"/>
      <c r="CE131" s="8"/>
      <c r="CF131" s="8"/>
      <c r="CG131" s="9"/>
      <c r="CH131" s="8"/>
      <c r="CI131" s="8"/>
      <c r="CJ131" s="8"/>
      <c r="CK131" s="8"/>
      <c r="CL131" s="8"/>
      <c r="CM131" s="8"/>
      <c r="CN131" s="8"/>
      <c r="CO131" s="8"/>
      <c r="CP131" s="8"/>
      <c r="CQ131" s="9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9"/>
      <c r="DG131" s="9"/>
      <c r="DH131" s="10"/>
      <c r="DI131" s="9"/>
      <c r="DJ131" s="9"/>
      <c r="DK131" s="3"/>
      <c r="DL131" s="3"/>
      <c r="DM131" s="3"/>
    </row>
    <row r="132" ht="11.25" customHeight="1">
      <c r="A132" s="3"/>
      <c r="B132" s="2"/>
      <c r="C132" s="3"/>
      <c r="D132" s="3"/>
      <c r="E132" s="3"/>
      <c r="F132" s="4"/>
      <c r="G132" s="4"/>
      <c r="H132" s="4"/>
      <c r="I132" s="5"/>
      <c r="J132" s="4"/>
      <c r="K132" s="4"/>
      <c r="L132" s="6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3"/>
      <c r="AL132" s="3"/>
      <c r="AM132" s="3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8"/>
      <c r="BU132" s="8"/>
      <c r="BV132" s="8"/>
      <c r="BW132" s="8"/>
      <c r="BX132" s="3"/>
      <c r="BY132" s="3"/>
      <c r="BZ132" s="3"/>
      <c r="CA132" s="8"/>
      <c r="CB132" s="8"/>
      <c r="CC132" s="8"/>
      <c r="CD132" s="8"/>
      <c r="CE132" s="8"/>
      <c r="CF132" s="8"/>
      <c r="CG132" s="9"/>
      <c r="CH132" s="8"/>
      <c r="CI132" s="8"/>
      <c r="CJ132" s="8"/>
      <c r="CK132" s="8"/>
      <c r="CL132" s="8"/>
      <c r="CM132" s="8"/>
      <c r="CN132" s="8"/>
      <c r="CO132" s="8"/>
      <c r="CP132" s="8"/>
      <c r="CQ132" s="9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9"/>
      <c r="DG132" s="9"/>
      <c r="DH132" s="10"/>
      <c r="DI132" s="9"/>
      <c r="DJ132" s="9"/>
      <c r="DK132" s="3"/>
      <c r="DL132" s="3"/>
      <c r="DM132" s="3"/>
    </row>
    <row r="133" ht="11.25" customHeight="1">
      <c r="A133" s="3"/>
      <c r="B133" s="2"/>
      <c r="C133" s="3"/>
      <c r="D133" s="3"/>
      <c r="E133" s="3"/>
      <c r="F133" s="4"/>
      <c r="G133" s="4"/>
      <c r="H133" s="4"/>
      <c r="I133" s="5"/>
      <c r="J133" s="4"/>
      <c r="K133" s="4"/>
      <c r="L133" s="6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3"/>
      <c r="AL133" s="3"/>
      <c r="AM133" s="3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8"/>
      <c r="BU133" s="8"/>
      <c r="BV133" s="8"/>
      <c r="BW133" s="8"/>
      <c r="BX133" s="3"/>
      <c r="BY133" s="3"/>
      <c r="BZ133" s="3"/>
      <c r="CA133" s="8"/>
      <c r="CB133" s="8"/>
      <c r="CC133" s="8"/>
      <c r="CD133" s="8"/>
      <c r="CE133" s="8"/>
      <c r="CF133" s="8"/>
      <c r="CG133" s="9"/>
      <c r="CH133" s="8"/>
      <c r="CI133" s="8"/>
      <c r="CJ133" s="8"/>
      <c r="CK133" s="8"/>
      <c r="CL133" s="8"/>
      <c r="CM133" s="8"/>
      <c r="CN133" s="8"/>
      <c r="CO133" s="8"/>
      <c r="CP133" s="8"/>
      <c r="CQ133" s="9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9"/>
      <c r="DG133" s="9"/>
      <c r="DH133" s="10"/>
      <c r="DI133" s="9"/>
      <c r="DJ133" s="9"/>
      <c r="DK133" s="3"/>
      <c r="DL133" s="3"/>
      <c r="DM133" s="3"/>
    </row>
    <row r="134" ht="11.25" customHeight="1">
      <c r="A134" s="3"/>
      <c r="B134" s="2"/>
      <c r="C134" s="3"/>
      <c r="D134" s="3"/>
      <c r="E134" s="3"/>
      <c r="F134" s="4"/>
      <c r="G134" s="4"/>
      <c r="H134" s="4"/>
      <c r="I134" s="5"/>
      <c r="J134" s="4"/>
      <c r="K134" s="4"/>
      <c r="L134" s="6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3"/>
      <c r="AL134" s="3"/>
      <c r="AM134" s="3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8"/>
      <c r="BU134" s="8"/>
      <c r="BV134" s="8"/>
      <c r="BW134" s="8"/>
      <c r="BX134" s="3"/>
      <c r="BY134" s="3"/>
      <c r="BZ134" s="3"/>
      <c r="CA134" s="8"/>
      <c r="CB134" s="8"/>
      <c r="CC134" s="8"/>
      <c r="CD134" s="8"/>
      <c r="CE134" s="8"/>
      <c r="CF134" s="8"/>
      <c r="CG134" s="9"/>
      <c r="CH134" s="8"/>
      <c r="CI134" s="8"/>
      <c r="CJ134" s="8"/>
      <c r="CK134" s="8"/>
      <c r="CL134" s="8"/>
      <c r="CM134" s="8"/>
      <c r="CN134" s="8"/>
      <c r="CO134" s="8"/>
      <c r="CP134" s="8"/>
      <c r="CQ134" s="9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9"/>
      <c r="DG134" s="9"/>
      <c r="DH134" s="10"/>
      <c r="DI134" s="9"/>
      <c r="DJ134" s="9"/>
      <c r="DK134" s="3"/>
      <c r="DL134" s="3"/>
      <c r="DM134" s="3"/>
    </row>
    <row r="135" ht="11.25" customHeight="1">
      <c r="A135" s="3"/>
      <c r="B135" s="2"/>
      <c r="C135" s="3"/>
      <c r="D135" s="3"/>
      <c r="E135" s="3"/>
      <c r="F135" s="4"/>
      <c r="G135" s="4"/>
      <c r="H135" s="4"/>
      <c r="I135" s="5"/>
      <c r="J135" s="4"/>
      <c r="K135" s="4"/>
      <c r="L135" s="6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3"/>
      <c r="AL135" s="3"/>
      <c r="AM135" s="3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8"/>
      <c r="BU135" s="8"/>
      <c r="BV135" s="8"/>
      <c r="BW135" s="8"/>
      <c r="BX135" s="3"/>
      <c r="BY135" s="3"/>
      <c r="BZ135" s="3"/>
      <c r="CA135" s="8"/>
      <c r="CB135" s="8"/>
      <c r="CC135" s="8"/>
      <c r="CD135" s="8"/>
      <c r="CE135" s="8"/>
      <c r="CF135" s="8"/>
      <c r="CG135" s="9"/>
      <c r="CH135" s="8"/>
      <c r="CI135" s="8"/>
      <c r="CJ135" s="8"/>
      <c r="CK135" s="8"/>
      <c r="CL135" s="8"/>
      <c r="CM135" s="8"/>
      <c r="CN135" s="8"/>
      <c r="CO135" s="8"/>
      <c r="CP135" s="8"/>
      <c r="CQ135" s="9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9"/>
      <c r="DG135" s="9"/>
      <c r="DH135" s="10"/>
      <c r="DI135" s="9"/>
      <c r="DJ135" s="9"/>
      <c r="DK135" s="3"/>
      <c r="DL135" s="3"/>
      <c r="DM135" s="3"/>
    </row>
    <row r="136" ht="11.25" customHeight="1">
      <c r="A136" s="3"/>
      <c r="B136" s="2"/>
      <c r="C136" s="3"/>
      <c r="D136" s="3"/>
      <c r="E136" s="3"/>
      <c r="F136" s="4"/>
      <c r="G136" s="4"/>
      <c r="H136" s="4"/>
      <c r="I136" s="5"/>
      <c r="J136" s="4"/>
      <c r="K136" s="4"/>
      <c r="L136" s="6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3"/>
      <c r="AL136" s="3"/>
      <c r="AM136" s="3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8"/>
      <c r="BU136" s="8"/>
      <c r="BV136" s="8"/>
      <c r="BW136" s="8"/>
      <c r="BX136" s="3"/>
      <c r="BY136" s="3"/>
      <c r="BZ136" s="3"/>
      <c r="CA136" s="8"/>
      <c r="CB136" s="8"/>
      <c r="CC136" s="8"/>
      <c r="CD136" s="8"/>
      <c r="CE136" s="8"/>
      <c r="CF136" s="8"/>
      <c r="CG136" s="9"/>
      <c r="CH136" s="8"/>
      <c r="CI136" s="8"/>
      <c r="CJ136" s="8"/>
      <c r="CK136" s="8"/>
      <c r="CL136" s="8"/>
      <c r="CM136" s="8"/>
      <c r="CN136" s="8"/>
      <c r="CO136" s="8"/>
      <c r="CP136" s="8"/>
      <c r="CQ136" s="9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9"/>
      <c r="DG136" s="9"/>
      <c r="DH136" s="10"/>
      <c r="DI136" s="9"/>
      <c r="DJ136" s="9"/>
      <c r="DK136" s="3"/>
      <c r="DL136" s="3"/>
      <c r="DM136" s="3"/>
    </row>
    <row r="137" ht="11.25" customHeight="1">
      <c r="A137" s="3"/>
      <c r="B137" s="2"/>
      <c r="C137" s="3"/>
      <c r="D137" s="3"/>
      <c r="E137" s="3"/>
      <c r="F137" s="4"/>
      <c r="G137" s="4"/>
      <c r="H137" s="4"/>
      <c r="I137" s="5"/>
      <c r="J137" s="4"/>
      <c r="K137" s="4"/>
      <c r="L137" s="6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3"/>
      <c r="AL137" s="3"/>
      <c r="AM137" s="3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8"/>
      <c r="BU137" s="8"/>
      <c r="BV137" s="8"/>
      <c r="BW137" s="8"/>
      <c r="BX137" s="3"/>
      <c r="BY137" s="3"/>
      <c r="BZ137" s="3"/>
      <c r="CA137" s="8"/>
      <c r="CB137" s="8"/>
      <c r="CC137" s="8"/>
      <c r="CD137" s="8"/>
      <c r="CE137" s="8"/>
      <c r="CF137" s="8"/>
      <c r="CG137" s="9"/>
      <c r="CH137" s="8"/>
      <c r="CI137" s="8"/>
      <c r="CJ137" s="8"/>
      <c r="CK137" s="8"/>
      <c r="CL137" s="8"/>
      <c r="CM137" s="8"/>
      <c r="CN137" s="8"/>
      <c r="CO137" s="8"/>
      <c r="CP137" s="8"/>
      <c r="CQ137" s="9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9"/>
      <c r="DG137" s="9"/>
      <c r="DH137" s="10"/>
      <c r="DI137" s="9"/>
      <c r="DJ137" s="9"/>
      <c r="DK137" s="3"/>
      <c r="DL137" s="3"/>
      <c r="DM137" s="3"/>
    </row>
    <row r="138" ht="11.25" customHeight="1">
      <c r="A138" s="3"/>
      <c r="B138" s="2"/>
      <c r="C138" s="3"/>
      <c r="D138" s="3"/>
      <c r="E138" s="3"/>
      <c r="F138" s="4"/>
      <c r="G138" s="4"/>
      <c r="H138" s="4"/>
      <c r="I138" s="5"/>
      <c r="J138" s="4"/>
      <c r="K138" s="4"/>
      <c r="L138" s="6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3"/>
      <c r="AL138" s="3"/>
      <c r="AM138" s="3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8"/>
      <c r="BU138" s="8"/>
      <c r="BV138" s="8"/>
      <c r="BW138" s="8"/>
      <c r="BX138" s="3"/>
      <c r="BY138" s="3"/>
      <c r="BZ138" s="3"/>
      <c r="CA138" s="8"/>
      <c r="CB138" s="8"/>
      <c r="CC138" s="8"/>
      <c r="CD138" s="8"/>
      <c r="CE138" s="8"/>
      <c r="CF138" s="8"/>
      <c r="CG138" s="9"/>
      <c r="CH138" s="8"/>
      <c r="CI138" s="8"/>
      <c r="CJ138" s="8"/>
      <c r="CK138" s="8"/>
      <c r="CL138" s="8"/>
      <c r="CM138" s="8"/>
      <c r="CN138" s="8"/>
      <c r="CO138" s="8"/>
      <c r="CP138" s="8"/>
      <c r="CQ138" s="9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9"/>
      <c r="DG138" s="9"/>
      <c r="DH138" s="10"/>
      <c r="DI138" s="9"/>
      <c r="DJ138" s="9"/>
      <c r="DK138" s="3"/>
      <c r="DL138" s="3"/>
      <c r="DM138" s="3"/>
    </row>
    <row r="139" ht="11.25" customHeight="1">
      <c r="A139" s="3"/>
      <c r="B139" s="2"/>
      <c r="C139" s="3"/>
      <c r="D139" s="3"/>
      <c r="E139" s="3"/>
      <c r="F139" s="4"/>
      <c r="G139" s="4"/>
      <c r="H139" s="4"/>
      <c r="I139" s="5"/>
      <c r="J139" s="4"/>
      <c r="K139" s="4"/>
      <c r="L139" s="6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3"/>
      <c r="AL139" s="3"/>
      <c r="AM139" s="3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8"/>
      <c r="BU139" s="8"/>
      <c r="BV139" s="8"/>
      <c r="BW139" s="8"/>
      <c r="BX139" s="3"/>
      <c r="BY139" s="3"/>
      <c r="BZ139" s="3"/>
      <c r="CA139" s="8"/>
      <c r="CB139" s="8"/>
      <c r="CC139" s="8"/>
      <c r="CD139" s="8"/>
      <c r="CE139" s="8"/>
      <c r="CF139" s="8"/>
      <c r="CG139" s="9"/>
      <c r="CH139" s="8"/>
      <c r="CI139" s="8"/>
      <c r="CJ139" s="8"/>
      <c r="CK139" s="8"/>
      <c r="CL139" s="8"/>
      <c r="CM139" s="8"/>
      <c r="CN139" s="8"/>
      <c r="CO139" s="8"/>
      <c r="CP139" s="8"/>
      <c r="CQ139" s="9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9"/>
      <c r="DG139" s="9"/>
      <c r="DH139" s="10"/>
      <c r="DI139" s="9"/>
      <c r="DJ139" s="9"/>
      <c r="DK139" s="3"/>
      <c r="DL139" s="3"/>
      <c r="DM139" s="3"/>
    </row>
    <row r="140" ht="11.25" customHeight="1">
      <c r="A140" s="3"/>
      <c r="B140" s="2"/>
      <c r="C140" s="3"/>
      <c r="D140" s="3"/>
      <c r="E140" s="3"/>
      <c r="F140" s="4"/>
      <c r="G140" s="4"/>
      <c r="H140" s="4"/>
      <c r="I140" s="5"/>
      <c r="J140" s="4"/>
      <c r="K140" s="4"/>
      <c r="L140" s="6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3"/>
      <c r="AL140" s="3"/>
      <c r="AM140" s="3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8"/>
      <c r="BU140" s="8"/>
      <c r="BV140" s="8"/>
      <c r="BW140" s="8"/>
      <c r="BX140" s="3"/>
      <c r="BY140" s="3"/>
      <c r="BZ140" s="3"/>
      <c r="CA140" s="8"/>
      <c r="CB140" s="8"/>
      <c r="CC140" s="8"/>
      <c r="CD140" s="8"/>
      <c r="CE140" s="8"/>
      <c r="CF140" s="8"/>
      <c r="CG140" s="9"/>
      <c r="CH140" s="8"/>
      <c r="CI140" s="8"/>
      <c r="CJ140" s="8"/>
      <c r="CK140" s="8"/>
      <c r="CL140" s="8"/>
      <c r="CM140" s="8"/>
      <c r="CN140" s="8"/>
      <c r="CO140" s="8"/>
      <c r="CP140" s="8"/>
      <c r="CQ140" s="9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9"/>
      <c r="DG140" s="9"/>
      <c r="DH140" s="10"/>
      <c r="DI140" s="9"/>
      <c r="DJ140" s="9"/>
      <c r="DK140" s="3"/>
      <c r="DL140" s="3"/>
      <c r="DM140" s="3"/>
    </row>
    <row r="141" ht="11.25" customHeight="1">
      <c r="A141" s="3"/>
      <c r="B141" s="2"/>
      <c r="C141" s="3"/>
      <c r="D141" s="3"/>
      <c r="E141" s="3"/>
      <c r="F141" s="4"/>
      <c r="G141" s="4"/>
      <c r="H141" s="4"/>
      <c r="I141" s="5"/>
      <c r="J141" s="4"/>
      <c r="K141" s="4"/>
      <c r="L141" s="6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3"/>
      <c r="AL141" s="3"/>
      <c r="AM141" s="3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8"/>
      <c r="BU141" s="8"/>
      <c r="BV141" s="8"/>
      <c r="BW141" s="8"/>
      <c r="BX141" s="3"/>
      <c r="BY141" s="3"/>
      <c r="BZ141" s="3"/>
      <c r="CA141" s="8"/>
      <c r="CB141" s="8"/>
      <c r="CC141" s="8"/>
      <c r="CD141" s="8"/>
      <c r="CE141" s="8"/>
      <c r="CF141" s="8"/>
      <c r="CG141" s="9"/>
      <c r="CH141" s="8"/>
      <c r="CI141" s="8"/>
      <c r="CJ141" s="8"/>
      <c r="CK141" s="8"/>
      <c r="CL141" s="8"/>
      <c r="CM141" s="8"/>
      <c r="CN141" s="8"/>
      <c r="CO141" s="8"/>
      <c r="CP141" s="8"/>
      <c r="CQ141" s="9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9"/>
      <c r="DG141" s="9"/>
      <c r="DH141" s="10"/>
      <c r="DI141" s="9"/>
      <c r="DJ141" s="9"/>
      <c r="DK141" s="3"/>
      <c r="DL141" s="3"/>
      <c r="DM141" s="3"/>
    </row>
    <row r="142" ht="11.25" customHeight="1">
      <c r="A142" s="3"/>
      <c r="B142" s="2"/>
      <c r="C142" s="3"/>
      <c r="D142" s="3"/>
      <c r="E142" s="3"/>
      <c r="F142" s="4"/>
      <c r="G142" s="4"/>
      <c r="H142" s="4"/>
      <c r="I142" s="5"/>
      <c r="J142" s="4"/>
      <c r="K142" s="4"/>
      <c r="L142" s="6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3"/>
      <c r="AL142" s="3"/>
      <c r="AM142" s="3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8"/>
      <c r="BU142" s="8"/>
      <c r="BV142" s="8"/>
      <c r="BW142" s="8"/>
      <c r="BX142" s="3"/>
      <c r="BY142" s="3"/>
      <c r="BZ142" s="3"/>
      <c r="CA142" s="8"/>
      <c r="CB142" s="8"/>
      <c r="CC142" s="8"/>
      <c r="CD142" s="8"/>
      <c r="CE142" s="8"/>
      <c r="CF142" s="8"/>
      <c r="CG142" s="9"/>
      <c r="CH142" s="8"/>
      <c r="CI142" s="8"/>
      <c r="CJ142" s="8"/>
      <c r="CK142" s="8"/>
      <c r="CL142" s="8"/>
      <c r="CM142" s="8"/>
      <c r="CN142" s="8"/>
      <c r="CO142" s="8"/>
      <c r="CP142" s="8"/>
      <c r="CQ142" s="9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9"/>
      <c r="DG142" s="9"/>
      <c r="DH142" s="10"/>
      <c r="DI142" s="9"/>
      <c r="DJ142" s="9"/>
      <c r="DK142" s="3"/>
      <c r="DL142" s="3"/>
      <c r="DM142" s="3"/>
    </row>
    <row r="143" ht="11.25" customHeight="1">
      <c r="A143" s="3"/>
      <c r="B143" s="2"/>
      <c r="C143" s="3"/>
      <c r="D143" s="3"/>
      <c r="E143" s="3"/>
      <c r="F143" s="4"/>
      <c r="G143" s="4"/>
      <c r="H143" s="4"/>
      <c r="I143" s="5"/>
      <c r="J143" s="4"/>
      <c r="K143" s="4"/>
      <c r="L143" s="6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3"/>
      <c r="AL143" s="3"/>
      <c r="AM143" s="3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8"/>
      <c r="BU143" s="8"/>
      <c r="BV143" s="8"/>
      <c r="BW143" s="8"/>
      <c r="BX143" s="3"/>
      <c r="BY143" s="3"/>
      <c r="BZ143" s="3"/>
      <c r="CA143" s="8"/>
      <c r="CB143" s="8"/>
      <c r="CC143" s="8"/>
      <c r="CD143" s="8"/>
      <c r="CE143" s="8"/>
      <c r="CF143" s="8"/>
      <c r="CG143" s="9"/>
      <c r="CH143" s="8"/>
      <c r="CI143" s="8"/>
      <c r="CJ143" s="8"/>
      <c r="CK143" s="8"/>
      <c r="CL143" s="8"/>
      <c r="CM143" s="8"/>
      <c r="CN143" s="8"/>
      <c r="CO143" s="8"/>
      <c r="CP143" s="8"/>
      <c r="CQ143" s="9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9"/>
      <c r="DG143" s="9"/>
      <c r="DH143" s="10"/>
      <c r="DI143" s="9"/>
      <c r="DJ143" s="9"/>
      <c r="DK143" s="3"/>
      <c r="DL143" s="3"/>
      <c r="DM143" s="3"/>
    </row>
    <row r="144" ht="11.25" customHeight="1">
      <c r="A144" s="3"/>
      <c r="B144" s="2"/>
      <c r="C144" s="3"/>
      <c r="D144" s="3"/>
      <c r="E144" s="3"/>
      <c r="F144" s="4"/>
      <c r="G144" s="4"/>
      <c r="H144" s="4"/>
      <c r="I144" s="5"/>
      <c r="J144" s="4"/>
      <c r="K144" s="4"/>
      <c r="L144" s="6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3"/>
      <c r="AL144" s="3"/>
      <c r="AM144" s="3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8"/>
      <c r="BU144" s="8"/>
      <c r="BV144" s="8"/>
      <c r="BW144" s="8"/>
      <c r="BX144" s="3"/>
      <c r="BY144" s="3"/>
      <c r="BZ144" s="3"/>
      <c r="CA144" s="8"/>
      <c r="CB144" s="8"/>
      <c r="CC144" s="8"/>
      <c r="CD144" s="8"/>
      <c r="CE144" s="8"/>
      <c r="CF144" s="8"/>
      <c r="CG144" s="9"/>
      <c r="CH144" s="8"/>
      <c r="CI144" s="8"/>
      <c r="CJ144" s="8"/>
      <c r="CK144" s="8"/>
      <c r="CL144" s="8"/>
      <c r="CM144" s="8"/>
      <c r="CN144" s="8"/>
      <c r="CO144" s="8"/>
      <c r="CP144" s="8"/>
      <c r="CQ144" s="9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9"/>
      <c r="DG144" s="9"/>
      <c r="DH144" s="10"/>
      <c r="DI144" s="9"/>
      <c r="DJ144" s="9"/>
      <c r="DK144" s="3"/>
      <c r="DL144" s="3"/>
      <c r="DM144" s="3"/>
    </row>
    <row r="145" ht="11.25" customHeight="1">
      <c r="A145" s="3"/>
      <c r="B145" s="2"/>
      <c r="C145" s="3"/>
      <c r="D145" s="3"/>
      <c r="E145" s="3"/>
      <c r="F145" s="4"/>
      <c r="G145" s="4"/>
      <c r="H145" s="4"/>
      <c r="I145" s="5"/>
      <c r="J145" s="4"/>
      <c r="K145" s="4"/>
      <c r="L145" s="6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3"/>
      <c r="AL145" s="3"/>
      <c r="AM145" s="3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8"/>
      <c r="BU145" s="8"/>
      <c r="BV145" s="8"/>
      <c r="BW145" s="8"/>
      <c r="BX145" s="3"/>
      <c r="BY145" s="3"/>
      <c r="BZ145" s="3"/>
      <c r="CA145" s="8"/>
      <c r="CB145" s="8"/>
      <c r="CC145" s="8"/>
      <c r="CD145" s="8"/>
      <c r="CE145" s="8"/>
      <c r="CF145" s="8"/>
      <c r="CG145" s="9"/>
      <c r="CH145" s="8"/>
      <c r="CI145" s="8"/>
      <c r="CJ145" s="8"/>
      <c r="CK145" s="8"/>
      <c r="CL145" s="8"/>
      <c r="CM145" s="8"/>
      <c r="CN145" s="8"/>
      <c r="CO145" s="8"/>
      <c r="CP145" s="8"/>
      <c r="CQ145" s="9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9"/>
      <c r="DG145" s="9"/>
      <c r="DH145" s="10"/>
      <c r="DI145" s="9"/>
      <c r="DJ145" s="9"/>
      <c r="DK145" s="3"/>
      <c r="DL145" s="3"/>
      <c r="DM145" s="3"/>
    </row>
    <row r="146" ht="11.25" customHeight="1">
      <c r="A146" s="3"/>
      <c r="B146" s="2"/>
      <c r="C146" s="3"/>
      <c r="D146" s="3"/>
      <c r="E146" s="3"/>
      <c r="F146" s="4"/>
      <c r="G146" s="4"/>
      <c r="H146" s="4"/>
      <c r="I146" s="5"/>
      <c r="J146" s="4"/>
      <c r="K146" s="4"/>
      <c r="L146" s="6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3"/>
      <c r="AL146" s="3"/>
      <c r="AM146" s="3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8"/>
      <c r="BU146" s="8"/>
      <c r="BV146" s="8"/>
      <c r="BW146" s="8"/>
      <c r="BX146" s="3"/>
      <c r="BY146" s="3"/>
      <c r="BZ146" s="3"/>
      <c r="CA146" s="8"/>
      <c r="CB146" s="8"/>
      <c r="CC146" s="8"/>
      <c r="CD146" s="8"/>
      <c r="CE146" s="8"/>
      <c r="CF146" s="8"/>
      <c r="CG146" s="9"/>
      <c r="CH146" s="8"/>
      <c r="CI146" s="8"/>
      <c r="CJ146" s="8"/>
      <c r="CK146" s="8"/>
      <c r="CL146" s="8"/>
      <c r="CM146" s="8"/>
      <c r="CN146" s="8"/>
      <c r="CO146" s="8"/>
      <c r="CP146" s="8"/>
      <c r="CQ146" s="9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9"/>
      <c r="DG146" s="9"/>
      <c r="DH146" s="10"/>
      <c r="DI146" s="9"/>
      <c r="DJ146" s="9"/>
      <c r="DK146" s="3"/>
      <c r="DL146" s="3"/>
      <c r="DM146" s="3"/>
    </row>
    <row r="147" ht="11.25" customHeight="1">
      <c r="A147" s="3"/>
      <c r="B147" s="2"/>
      <c r="C147" s="3"/>
      <c r="D147" s="3"/>
      <c r="E147" s="3"/>
      <c r="F147" s="4"/>
      <c r="G147" s="4"/>
      <c r="H147" s="4"/>
      <c r="I147" s="5"/>
      <c r="J147" s="4"/>
      <c r="K147" s="4"/>
      <c r="L147" s="6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3"/>
      <c r="AL147" s="3"/>
      <c r="AM147" s="3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8"/>
      <c r="BU147" s="8"/>
      <c r="BV147" s="8"/>
      <c r="BW147" s="8"/>
      <c r="BX147" s="3"/>
      <c r="BY147" s="3"/>
      <c r="BZ147" s="3"/>
      <c r="CA147" s="8"/>
      <c r="CB147" s="8"/>
      <c r="CC147" s="8"/>
      <c r="CD147" s="8"/>
      <c r="CE147" s="8"/>
      <c r="CF147" s="8"/>
      <c r="CG147" s="9"/>
      <c r="CH147" s="8"/>
      <c r="CI147" s="8"/>
      <c r="CJ147" s="8"/>
      <c r="CK147" s="8"/>
      <c r="CL147" s="8"/>
      <c r="CM147" s="8"/>
      <c r="CN147" s="8"/>
      <c r="CO147" s="8"/>
      <c r="CP147" s="8"/>
      <c r="CQ147" s="9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9"/>
      <c r="DG147" s="9"/>
      <c r="DH147" s="10"/>
      <c r="DI147" s="9"/>
      <c r="DJ147" s="9"/>
      <c r="DK147" s="3"/>
      <c r="DL147" s="3"/>
      <c r="DM147" s="3"/>
    </row>
    <row r="148" ht="11.25" customHeight="1">
      <c r="A148" s="3"/>
      <c r="B148" s="2"/>
      <c r="C148" s="3"/>
      <c r="D148" s="3"/>
      <c r="E148" s="3"/>
      <c r="F148" s="4"/>
      <c r="G148" s="4"/>
      <c r="H148" s="4"/>
      <c r="I148" s="5"/>
      <c r="J148" s="4"/>
      <c r="K148" s="4"/>
      <c r="L148" s="6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3"/>
      <c r="AL148" s="3"/>
      <c r="AM148" s="3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8"/>
      <c r="BU148" s="8"/>
      <c r="BV148" s="8"/>
      <c r="BW148" s="8"/>
      <c r="BX148" s="3"/>
      <c r="BY148" s="3"/>
      <c r="BZ148" s="3"/>
      <c r="CA148" s="8"/>
      <c r="CB148" s="8"/>
      <c r="CC148" s="8"/>
      <c r="CD148" s="8"/>
      <c r="CE148" s="8"/>
      <c r="CF148" s="8"/>
      <c r="CG148" s="9"/>
      <c r="CH148" s="8"/>
      <c r="CI148" s="8"/>
      <c r="CJ148" s="8"/>
      <c r="CK148" s="8"/>
      <c r="CL148" s="8"/>
      <c r="CM148" s="8"/>
      <c r="CN148" s="8"/>
      <c r="CO148" s="8"/>
      <c r="CP148" s="8"/>
      <c r="CQ148" s="9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9"/>
      <c r="DG148" s="9"/>
      <c r="DH148" s="10"/>
      <c r="DI148" s="9"/>
      <c r="DJ148" s="9"/>
      <c r="DK148" s="3"/>
      <c r="DL148" s="3"/>
      <c r="DM148" s="3"/>
    </row>
    <row r="149" ht="11.25" customHeight="1">
      <c r="A149" s="3"/>
      <c r="B149" s="2"/>
      <c r="C149" s="3"/>
      <c r="D149" s="3"/>
      <c r="E149" s="3"/>
      <c r="F149" s="4"/>
      <c r="G149" s="4"/>
      <c r="H149" s="4"/>
      <c r="I149" s="5"/>
      <c r="J149" s="4"/>
      <c r="K149" s="4"/>
      <c r="L149" s="6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3"/>
      <c r="AL149" s="3"/>
      <c r="AM149" s="3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8"/>
      <c r="BU149" s="8"/>
      <c r="BV149" s="8"/>
      <c r="BW149" s="8"/>
      <c r="BX149" s="3"/>
      <c r="BY149" s="3"/>
      <c r="BZ149" s="3"/>
      <c r="CA149" s="8"/>
      <c r="CB149" s="8"/>
      <c r="CC149" s="8"/>
      <c r="CD149" s="8"/>
      <c r="CE149" s="8"/>
      <c r="CF149" s="8"/>
      <c r="CG149" s="9"/>
      <c r="CH149" s="8"/>
      <c r="CI149" s="8"/>
      <c r="CJ149" s="8"/>
      <c r="CK149" s="8"/>
      <c r="CL149" s="8"/>
      <c r="CM149" s="8"/>
      <c r="CN149" s="8"/>
      <c r="CO149" s="8"/>
      <c r="CP149" s="8"/>
      <c r="CQ149" s="9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9"/>
      <c r="DG149" s="9"/>
      <c r="DH149" s="10"/>
      <c r="DI149" s="9"/>
      <c r="DJ149" s="9"/>
      <c r="DK149" s="3"/>
      <c r="DL149" s="3"/>
      <c r="DM149" s="3"/>
    </row>
    <row r="150" ht="11.25" customHeight="1">
      <c r="A150" s="3"/>
      <c r="B150" s="2"/>
      <c r="C150" s="3"/>
      <c r="D150" s="3"/>
      <c r="E150" s="3"/>
      <c r="F150" s="4"/>
      <c r="G150" s="4"/>
      <c r="H150" s="4"/>
      <c r="I150" s="5"/>
      <c r="J150" s="4"/>
      <c r="K150" s="4"/>
      <c r="L150" s="6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3"/>
      <c r="AL150" s="3"/>
      <c r="AM150" s="3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8"/>
      <c r="BU150" s="8"/>
      <c r="BV150" s="8"/>
      <c r="BW150" s="8"/>
      <c r="BX150" s="3"/>
      <c r="BY150" s="3"/>
      <c r="BZ150" s="3"/>
      <c r="CA150" s="8"/>
      <c r="CB150" s="8"/>
      <c r="CC150" s="8"/>
      <c r="CD150" s="8"/>
      <c r="CE150" s="8"/>
      <c r="CF150" s="8"/>
      <c r="CG150" s="9"/>
      <c r="CH150" s="8"/>
      <c r="CI150" s="8"/>
      <c r="CJ150" s="8"/>
      <c r="CK150" s="8"/>
      <c r="CL150" s="8"/>
      <c r="CM150" s="8"/>
      <c r="CN150" s="8"/>
      <c r="CO150" s="8"/>
      <c r="CP150" s="8"/>
      <c r="CQ150" s="9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9"/>
      <c r="DG150" s="9"/>
      <c r="DH150" s="10"/>
      <c r="DI150" s="9"/>
      <c r="DJ150" s="9"/>
      <c r="DK150" s="3"/>
      <c r="DL150" s="3"/>
      <c r="DM150" s="3"/>
    </row>
    <row r="151" ht="11.25" customHeight="1">
      <c r="A151" s="3"/>
      <c r="B151" s="2"/>
      <c r="C151" s="3"/>
      <c r="D151" s="3"/>
      <c r="E151" s="3"/>
      <c r="F151" s="4"/>
      <c r="G151" s="4"/>
      <c r="H151" s="4"/>
      <c r="I151" s="5"/>
      <c r="J151" s="4"/>
      <c r="K151" s="4"/>
      <c r="L151" s="6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3"/>
      <c r="AL151" s="3"/>
      <c r="AM151" s="3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8"/>
      <c r="BU151" s="8"/>
      <c r="BV151" s="8"/>
      <c r="BW151" s="8"/>
      <c r="BX151" s="3"/>
      <c r="BY151" s="3"/>
      <c r="BZ151" s="3"/>
      <c r="CA151" s="8"/>
      <c r="CB151" s="8"/>
      <c r="CC151" s="8"/>
      <c r="CD151" s="8"/>
      <c r="CE151" s="8"/>
      <c r="CF151" s="8"/>
      <c r="CG151" s="9"/>
      <c r="CH151" s="8"/>
      <c r="CI151" s="8"/>
      <c r="CJ151" s="8"/>
      <c r="CK151" s="8"/>
      <c r="CL151" s="8"/>
      <c r="CM151" s="8"/>
      <c r="CN151" s="8"/>
      <c r="CO151" s="8"/>
      <c r="CP151" s="8"/>
      <c r="CQ151" s="9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9"/>
      <c r="DG151" s="9"/>
      <c r="DH151" s="10"/>
      <c r="DI151" s="9"/>
      <c r="DJ151" s="9"/>
      <c r="DK151" s="3"/>
      <c r="DL151" s="3"/>
      <c r="DM151" s="3"/>
    </row>
    <row r="152" ht="11.25" customHeight="1">
      <c r="A152" s="3"/>
      <c r="B152" s="2"/>
      <c r="C152" s="3"/>
      <c r="D152" s="3"/>
      <c r="E152" s="3"/>
      <c r="F152" s="4"/>
      <c r="G152" s="4"/>
      <c r="H152" s="4"/>
      <c r="I152" s="5"/>
      <c r="J152" s="4"/>
      <c r="K152" s="4"/>
      <c r="L152" s="6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3"/>
      <c r="AL152" s="3"/>
      <c r="AM152" s="3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8"/>
      <c r="BU152" s="8"/>
      <c r="BV152" s="8"/>
      <c r="BW152" s="8"/>
      <c r="BX152" s="3"/>
      <c r="BY152" s="3"/>
      <c r="BZ152" s="3"/>
      <c r="CA152" s="8"/>
      <c r="CB152" s="8"/>
      <c r="CC152" s="8"/>
      <c r="CD152" s="8"/>
      <c r="CE152" s="8"/>
      <c r="CF152" s="8"/>
      <c r="CG152" s="9"/>
      <c r="CH152" s="8"/>
      <c r="CI152" s="8"/>
      <c r="CJ152" s="8"/>
      <c r="CK152" s="8"/>
      <c r="CL152" s="8"/>
      <c r="CM152" s="8"/>
      <c r="CN152" s="8"/>
      <c r="CO152" s="8"/>
      <c r="CP152" s="8"/>
      <c r="CQ152" s="9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9"/>
      <c r="DG152" s="9"/>
      <c r="DH152" s="10"/>
      <c r="DI152" s="9"/>
      <c r="DJ152" s="9"/>
      <c r="DK152" s="3"/>
      <c r="DL152" s="3"/>
      <c r="DM152" s="3"/>
    </row>
    <row r="153" ht="11.25" customHeight="1">
      <c r="A153" s="3"/>
      <c r="B153" s="2"/>
      <c r="C153" s="3"/>
      <c r="D153" s="3"/>
      <c r="E153" s="3"/>
      <c r="F153" s="4"/>
      <c r="G153" s="4"/>
      <c r="H153" s="4"/>
      <c r="I153" s="5"/>
      <c r="J153" s="4"/>
      <c r="K153" s="4"/>
      <c r="L153" s="6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3"/>
      <c r="AL153" s="3"/>
      <c r="AM153" s="3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8"/>
      <c r="BU153" s="8"/>
      <c r="BV153" s="8"/>
      <c r="BW153" s="8"/>
      <c r="BX153" s="3"/>
      <c r="BY153" s="3"/>
      <c r="BZ153" s="3"/>
      <c r="CA153" s="8"/>
      <c r="CB153" s="8"/>
      <c r="CC153" s="8"/>
      <c r="CD153" s="8"/>
      <c r="CE153" s="8"/>
      <c r="CF153" s="8"/>
      <c r="CG153" s="9"/>
      <c r="CH153" s="8"/>
      <c r="CI153" s="8"/>
      <c r="CJ153" s="8"/>
      <c r="CK153" s="8"/>
      <c r="CL153" s="8"/>
      <c r="CM153" s="8"/>
      <c r="CN153" s="8"/>
      <c r="CO153" s="8"/>
      <c r="CP153" s="8"/>
      <c r="CQ153" s="9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9"/>
      <c r="DG153" s="9"/>
      <c r="DH153" s="10"/>
      <c r="DI153" s="9"/>
      <c r="DJ153" s="9"/>
      <c r="DK153" s="3"/>
      <c r="DL153" s="3"/>
      <c r="DM153" s="3"/>
    </row>
    <row r="154" ht="11.25" customHeight="1">
      <c r="A154" s="3"/>
      <c r="B154" s="2"/>
      <c r="C154" s="3"/>
      <c r="D154" s="3"/>
      <c r="E154" s="3"/>
      <c r="F154" s="4"/>
      <c r="G154" s="4"/>
      <c r="H154" s="4"/>
      <c r="I154" s="5"/>
      <c r="J154" s="4"/>
      <c r="K154" s="4"/>
      <c r="L154" s="6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3"/>
      <c r="AL154" s="3"/>
      <c r="AM154" s="3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8"/>
      <c r="BU154" s="8"/>
      <c r="BV154" s="8"/>
      <c r="BW154" s="8"/>
      <c r="BX154" s="3"/>
      <c r="BY154" s="3"/>
      <c r="BZ154" s="3"/>
      <c r="CA154" s="8"/>
      <c r="CB154" s="8"/>
      <c r="CC154" s="8"/>
      <c r="CD154" s="8"/>
      <c r="CE154" s="8"/>
      <c r="CF154" s="8"/>
      <c r="CG154" s="9"/>
      <c r="CH154" s="8"/>
      <c r="CI154" s="8"/>
      <c r="CJ154" s="8"/>
      <c r="CK154" s="8"/>
      <c r="CL154" s="8"/>
      <c r="CM154" s="8"/>
      <c r="CN154" s="8"/>
      <c r="CO154" s="8"/>
      <c r="CP154" s="8"/>
      <c r="CQ154" s="9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9"/>
      <c r="DG154" s="9"/>
      <c r="DH154" s="10"/>
      <c r="DI154" s="9"/>
      <c r="DJ154" s="9"/>
      <c r="DK154" s="3"/>
      <c r="DL154" s="3"/>
      <c r="DM154" s="3"/>
    </row>
    <row r="155" ht="11.25" customHeight="1">
      <c r="A155" s="3"/>
      <c r="B155" s="2"/>
      <c r="C155" s="3"/>
      <c r="D155" s="3"/>
      <c r="E155" s="3"/>
      <c r="F155" s="4"/>
      <c r="G155" s="4"/>
      <c r="H155" s="4"/>
      <c r="I155" s="5"/>
      <c r="J155" s="4"/>
      <c r="K155" s="4"/>
      <c r="L155" s="6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3"/>
      <c r="AL155" s="3"/>
      <c r="AM155" s="3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8"/>
      <c r="BU155" s="8"/>
      <c r="BV155" s="8"/>
      <c r="BW155" s="8"/>
      <c r="BX155" s="3"/>
      <c r="BY155" s="3"/>
      <c r="BZ155" s="3"/>
      <c r="CA155" s="8"/>
      <c r="CB155" s="8"/>
      <c r="CC155" s="8"/>
      <c r="CD155" s="8"/>
      <c r="CE155" s="8"/>
      <c r="CF155" s="8"/>
      <c r="CG155" s="9"/>
      <c r="CH155" s="8"/>
      <c r="CI155" s="8"/>
      <c r="CJ155" s="8"/>
      <c r="CK155" s="8"/>
      <c r="CL155" s="8"/>
      <c r="CM155" s="8"/>
      <c r="CN155" s="8"/>
      <c r="CO155" s="8"/>
      <c r="CP155" s="8"/>
      <c r="CQ155" s="9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9"/>
      <c r="DG155" s="9"/>
      <c r="DH155" s="10"/>
      <c r="DI155" s="9"/>
      <c r="DJ155" s="9"/>
      <c r="DK155" s="3"/>
      <c r="DL155" s="3"/>
      <c r="DM155" s="3"/>
    </row>
    <row r="156" ht="11.25" customHeight="1">
      <c r="A156" s="3"/>
      <c r="B156" s="2"/>
      <c r="C156" s="3"/>
      <c r="D156" s="3"/>
      <c r="E156" s="3"/>
      <c r="F156" s="4"/>
      <c r="G156" s="4"/>
      <c r="H156" s="4"/>
      <c r="I156" s="5"/>
      <c r="J156" s="4"/>
      <c r="K156" s="4"/>
      <c r="L156" s="6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3"/>
      <c r="AL156" s="3"/>
      <c r="AM156" s="3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8"/>
      <c r="BU156" s="8"/>
      <c r="BV156" s="8"/>
      <c r="BW156" s="8"/>
      <c r="BX156" s="3"/>
      <c r="BY156" s="3"/>
      <c r="BZ156" s="3"/>
      <c r="CA156" s="8"/>
      <c r="CB156" s="8"/>
      <c r="CC156" s="8"/>
      <c r="CD156" s="8"/>
      <c r="CE156" s="8"/>
      <c r="CF156" s="8"/>
      <c r="CG156" s="9"/>
      <c r="CH156" s="8"/>
      <c r="CI156" s="8"/>
      <c r="CJ156" s="8"/>
      <c r="CK156" s="8"/>
      <c r="CL156" s="8"/>
      <c r="CM156" s="8"/>
      <c r="CN156" s="8"/>
      <c r="CO156" s="8"/>
      <c r="CP156" s="8"/>
      <c r="CQ156" s="9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9"/>
      <c r="DG156" s="9"/>
      <c r="DH156" s="10"/>
      <c r="DI156" s="9"/>
      <c r="DJ156" s="9"/>
      <c r="DK156" s="3"/>
      <c r="DL156" s="3"/>
      <c r="DM156" s="3"/>
    </row>
    <row r="157" ht="11.25" customHeight="1">
      <c r="A157" s="3"/>
      <c r="B157" s="2"/>
      <c r="C157" s="3"/>
      <c r="D157" s="3"/>
      <c r="E157" s="3"/>
      <c r="F157" s="4"/>
      <c r="G157" s="4"/>
      <c r="H157" s="4"/>
      <c r="I157" s="5"/>
      <c r="J157" s="4"/>
      <c r="K157" s="4"/>
      <c r="L157" s="6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3"/>
      <c r="AL157" s="3"/>
      <c r="AM157" s="3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8"/>
      <c r="BU157" s="8"/>
      <c r="BV157" s="8"/>
      <c r="BW157" s="8"/>
      <c r="BX157" s="3"/>
      <c r="BY157" s="3"/>
      <c r="BZ157" s="3"/>
      <c r="CA157" s="8"/>
      <c r="CB157" s="8"/>
      <c r="CC157" s="8"/>
      <c r="CD157" s="8"/>
      <c r="CE157" s="8"/>
      <c r="CF157" s="8"/>
      <c r="CG157" s="9"/>
      <c r="CH157" s="8"/>
      <c r="CI157" s="8"/>
      <c r="CJ157" s="8"/>
      <c r="CK157" s="8"/>
      <c r="CL157" s="8"/>
      <c r="CM157" s="8"/>
      <c r="CN157" s="8"/>
      <c r="CO157" s="8"/>
      <c r="CP157" s="8"/>
      <c r="CQ157" s="9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9"/>
      <c r="DG157" s="9"/>
      <c r="DH157" s="10"/>
      <c r="DI157" s="9"/>
      <c r="DJ157" s="9"/>
      <c r="DK157" s="3"/>
      <c r="DL157" s="3"/>
      <c r="DM157" s="3"/>
    </row>
    <row r="158" ht="11.25" customHeight="1">
      <c r="A158" s="3"/>
      <c r="B158" s="2"/>
      <c r="C158" s="3"/>
      <c r="D158" s="3"/>
      <c r="E158" s="3"/>
      <c r="F158" s="4"/>
      <c r="G158" s="4"/>
      <c r="H158" s="4"/>
      <c r="I158" s="5"/>
      <c r="J158" s="4"/>
      <c r="K158" s="4"/>
      <c r="L158" s="6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3"/>
      <c r="AL158" s="3"/>
      <c r="AM158" s="3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8"/>
      <c r="BU158" s="8"/>
      <c r="BV158" s="8"/>
      <c r="BW158" s="8"/>
      <c r="BX158" s="3"/>
      <c r="BY158" s="3"/>
      <c r="BZ158" s="3"/>
      <c r="CA158" s="8"/>
      <c r="CB158" s="8"/>
      <c r="CC158" s="8"/>
      <c r="CD158" s="8"/>
      <c r="CE158" s="8"/>
      <c r="CF158" s="8"/>
      <c r="CG158" s="9"/>
      <c r="CH158" s="8"/>
      <c r="CI158" s="8"/>
      <c r="CJ158" s="8"/>
      <c r="CK158" s="8"/>
      <c r="CL158" s="8"/>
      <c r="CM158" s="8"/>
      <c r="CN158" s="8"/>
      <c r="CO158" s="8"/>
      <c r="CP158" s="8"/>
      <c r="CQ158" s="9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9"/>
      <c r="DG158" s="9"/>
      <c r="DH158" s="10"/>
      <c r="DI158" s="9"/>
      <c r="DJ158" s="9"/>
      <c r="DK158" s="3"/>
      <c r="DL158" s="3"/>
      <c r="DM158" s="3"/>
    </row>
    <row r="159" ht="11.25" customHeight="1">
      <c r="A159" s="3"/>
      <c r="B159" s="2"/>
      <c r="C159" s="3"/>
      <c r="D159" s="3"/>
      <c r="E159" s="3"/>
      <c r="F159" s="4"/>
      <c r="G159" s="4"/>
      <c r="H159" s="4"/>
      <c r="I159" s="5"/>
      <c r="J159" s="4"/>
      <c r="K159" s="4"/>
      <c r="L159" s="6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3"/>
      <c r="AL159" s="3"/>
      <c r="AM159" s="3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8"/>
      <c r="BU159" s="8"/>
      <c r="BV159" s="8"/>
      <c r="BW159" s="8"/>
      <c r="BX159" s="3"/>
      <c r="BY159" s="3"/>
      <c r="BZ159" s="3"/>
      <c r="CA159" s="8"/>
      <c r="CB159" s="8"/>
      <c r="CC159" s="8"/>
      <c r="CD159" s="8"/>
      <c r="CE159" s="8"/>
      <c r="CF159" s="8"/>
      <c r="CG159" s="9"/>
      <c r="CH159" s="8"/>
      <c r="CI159" s="8"/>
      <c r="CJ159" s="8"/>
      <c r="CK159" s="8"/>
      <c r="CL159" s="8"/>
      <c r="CM159" s="8"/>
      <c r="CN159" s="8"/>
      <c r="CO159" s="8"/>
      <c r="CP159" s="8"/>
      <c r="CQ159" s="9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9"/>
      <c r="DG159" s="9"/>
      <c r="DH159" s="10"/>
      <c r="DI159" s="9"/>
      <c r="DJ159" s="9"/>
      <c r="DK159" s="3"/>
      <c r="DL159" s="3"/>
      <c r="DM159" s="3"/>
    </row>
    <row r="160" ht="11.25" customHeight="1">
      <c r="A160" s="3"/>
      <c r="B160" s="2"/>
      <c r="C160" s="3"/>
      <c r="D160" s="3"/>
      <c r="E160" s="3"/>
      <c r="F160" s="4"/>
      <c r="G160" s="4"/>
      <c r="H160" s="4"/>
      <c r="I160" s="5"/>
      <c r="J160" s="4"/>
      <c r="K160" s="4"/>
      <c r="L160" s="6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3"/>
      <c r="AL160" s="3"/>
      <c r="AM160" s="3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8"/>
      <c r="BU160" s="8"/>
      <c r="BV160" s="8"/>
      <c r="BW160" s="8"/>
      <c r="BX160" s="3"/>
      <c r="BY160" s="3"/>
      <c r="BZ160" s="3"/>
      <c r="CA160" s="8"/>
      <c r="CB160" s="8"/>
      <c r="CC160" s="8"/>
      <c r="CD160" s="8"/>
      <c r="CE160" s="8"/>
      <c r="CF160" s="8"/>
      <c r="CG160" s="9"/>
      <c r="CH160" s="8"/>
      <c r="CI160" s="8"/>
      <c r="CJ160" s="8"/>
      <c r="CK160" s="8"/>
      <c r="CL160" s="8"/>
      <c r="CM160" s="8"/>
      <c r="CN160" s="8"/>
      <c r="CO160" s="8"/>
      <c r="CP160" s="8"/>
      <c r="CQ160" s="9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9"/>
      <c r="DG160" s="9"/>
      <c r="DH160" s="10"/>
      <c r="DI160" s="9"/>
      <c r="DJ160" s="9"/>
      <c r="DK160" s="3"/>
      <c r="DL160" s="3"/>
      <c r="DM160" s="3"/>
    </row>
    <row r="161" ht="11.25" customHeight="1">
      <c r="A161" s="3"/>
      <c r="B161" s="2"/>
      <c r="C161" s="3"/>
      <c r="D161" s="3"/>
      <c r="E161" s="3"/>
      <c r="F161" s="4"/>
      <c r="G161" s="4"/>
      <c r="H161" s="4"/>
      <c r="I161" s="5"/>
      <c r="J161" s="4"/>
      <c r="K161" s="4"/>
      <c r="L161" s="6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3"/>
      <c r="AL161" s="3"/>
      <c r="AM161" s="3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8"/>
      <c r="BU161" s="8"/>
      <c r="BV161" s="8"/>
      <c r="BW161" s="8"/>
      <c r="BX161" s="3"/>
      <c r="BY161" s="3"/>
      <c r="BZ161" s="3"/>
      <c r="CA161" s="8"/>
      <c r="CB161" s="8"/>
      <c r="CC161" s="8"/>
      <c r="CD161" s="8"/>
      <c r="CE161" s="8"/>
      <c r="CF161" s="8"/>
      <c r="CG161" s="9"/>
      <c r="CH161" s="8"/>
      <c r="CI161" s="8"/>
      <c r="CJ161" s="8"/>
      <c r="CK161" s="8"/>
      <c r="CL161" s="8"/>
      <c r="CM161" s="8"/>
      <c r="CN161" s="8"/>
      <c r="CO161" s="8"/>
      <c r="CP161" s="8"/>
      <c r="CQ161" s="9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9"/>
      <c r="DG161" s="9"/>
      <c r="DH161" s="10"/>
      <c r="DI161" s="9"/>
      <c r="DJ161" s="9"/>
      <c r="DK161" s="3"/>
      <c r="DL161" s="3"/>
      <c r="DM161" s="3"/>
    </row>
    <row r="162" ht="11.25" customHeight="1">
      <c r="A162" s="3"/>
      <c r="B162" s="2"/>
      <c r="C162" s="3"/>
      <c r="D162" s="3"/>
      <c r="E162" s="3"/>
      <c r="F162" s="4"/>
      <c r="G162" s="4"/>
      <c r="H162" s="4"/>
      <c r="I162" s="5"/>
      <c r="J162" s="4"/>
      <c r="K162" s="4"/>
      <c r="L162" s="6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3"/>
      <c r="AL162" s="3"/>
      <c r="AM162" s="3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8"/>
      <c r="BU162" s="8"/>
      <c r="BV162" s="8"/>
      <c r="BW162" s="8"/>
      <c r="BX162" s="3"/>
      <c r="BY162" s="3"/>
      <c r="BZ162" s="3"/>
      <c r="CA162" s="8"/>
      <c r="CB162" s="8"/>
      <c r="CC162" s="8"/>
      <c r="CD162" s="8"/>
      <c r="CE162" s="8"/>
      <c r="CF162" s="8"/>
      <c r="CG162" s="9"/>
      <c r="CH162" s="8"/>
      <c r="CI162" s="8"/>
      <c r="CJ162" s="8"/>
      <c r="CK162" s="8"/>
      <c r="CL162" s="8"/>
      <c r="CM162" s="8"/>
      <c r="CN162" s="8"/>
      <c r="CO162" s="8"/>
      <c r="CP162" s="8"/>
      <c r="CQ162" s="9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9"/>
      <c r="DG162" s="9"/>
      <c r="DH162" s="10"/>
      <c r="DI162" s="9"/>
      <c r="DJ162" s="9"/>
      <c r="DK162" s="3"/>
      <c r="DL162" s="3"/>
      <c r="DM162" s="3"/>
    </row>
    <row r="163" ht="11.25" customHeight="1">
      <c r="A163" s="3"/>
      <c r="B163" s="2"/>
      <c r="C163" s="3"/>
      <c r="D163" s="3"/>
      <c r="E163" s="3"/>
      <c r="F163" s="4"/>
      <c r="G163" s="4"/>
      <c r="H163" s="4"/>
      <c r="I163" s="5"/>
      <c r="J163" s="4"/>
      <c r="K163" s="4"/>
      <c r="L163" s="6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3"/>
      <c r="AL163" s="3"/>
      <c r="AM163" s="3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8"/>
      <c r="BU163" s="8"/>
      <c r="BV163" s="8"/>
      <c r="BW163" s="8"/>
      <c r="BX163" s="3"/>
      <c r="BY163" s="3"/>
      <c r="BZ163" s="3"/>
      <c r="CA163" s="8"/>
      <c r="CB163" s="8"/>
      <c r="CC163" s="8"/>
      <c r="CD163" s="8"/>
      <c r="CE163" s="8"/>
      <c r="CF163" s="8"/>
      <c r="CG163" s="9"/>
      <c r="CH163" s="8"/>
      <c r="CI163" s="8"/>
      <c r="CJ163" s="8"/>
      <c r="CK163" s="8"/>
      <c r="CL163" s="8"/>
      <c r="CM163" s="8"/>
      <c r="CN163" s="8"/>
      <c r="CO163" s="8"/>
      <c r="CP163" s="8"/>
      <c r="CQ163" s="9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9"/>
      <c r="DG163" s="9"/>
      <c r="DH163" s="10"/>
      <c r="DI163" s="9"/>
      <c r="DJ163" s="9"/>
      <c r="DK163" s="3"/>
      <c r="DL163" s="3"/>
      <c r="DM163" s="3"/>
    </row>
    <row r="164" ht="11.25" customHeight="1">
      <c r="A164" s="3"/>
      <c r="B164" s="2"/>
      <c r="C164" s="3"/>
      <c r="D164" s="3"/>
      <c r="E164" s="3"/>
      <c r="F164" s="4"/>
      <c r="G164" s="4"/>
      <c r="H164" s="4"/>
      <c r="I164" s="5"/>
      <c r="J164" s="4"/>
      <c r="K164" s="4"/>
      <c r="L164" s="6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3"/>
      <c r="AL164" s="3"/>
      <c r="AM164" s="3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8"/>
      <c r="BU164" s="8"/>
      <c r="BV164" s="8"/>
      <c r="BW164" s="8"/>
      <c r="BX164" s="3"/>
      <c r="BY164" s="3"/>
      <c r="BZ164" s="3"/>
      <c r="CA164" s="8"/>
      <c r="CB164" s="8"/>
      <c r="CC164" s="8"/>
      <c r="CD164" s="8"/>
      <c r="CE164" s="8"/>
      <c r="CF164" s="8"/>
      <c r="CG164" s="9"/>
      <c r="CH164" s="8"/>
      <c r="CI164" s="8"/>
      <c r="CJ164" s="8"/>
      <c r="CK164" s="8"/>
      <c r="CL164" s="8"/>
      <c r="CM164" s="8"/>
      <c r="CN164" s="8"/>
      <c r="CO164" s="8"/>
      <c r="CP164" s="8"/>
      <c r="CQ164" s="9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9"/>
      <c r="DG164" s="9"/>
      <c r="DH164" s="10"/>
      <c r="DI164" s="9"/>
      <c r="DJ164" s="9"/>
      <c r="DK164" s="3"/>
      <c r="DL164" s="3"/>
      <c r="DM164" s="3"/>
    </row>
    <row r="165" ht="11.25" customHeight="1">
      <c r="A165" s="3"/>
      <c r="B165" s="2"/>
      <c r="C165" s="3"/>
      <c r="D165" s="3"/>
      <c r="E165" s="3"/>
      <c r="F165" s="4"/>
      <c r="G165" s="4"/>
      <c r="H165" s="4"/>
      <c r="I165" s="5"/>
      <c r="J165" s="4"/>
      <c r="K165" s="4"/>
      <c r="L165" s="6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3"/>
      <c r="AL165" s="3"/>
      <c r="AM165" s="3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8"/>
      <c r="BU165" s="8"/>
      <c r="BV165" s="8"/>
      <c r="BW165" s="8"/>
      <c r="BX165" s="3"/>
      <c r="BY165" s="3"/>
      <c r="BZ165" s="3"/>
      <c r="CA165" s="8"/>
      <c r="CB165" s="8"/>
      <c r="CC165" s="8"/>
      <c r="CD165" s="8"/>
      <c r="CE165" s="8"/>
      <c r="CF165" s="8"/>
      <c r="CG165" s="9"/>
      <c r="CH165" s="8"/>
      <c r="CI165" s="8"/>
      <c r="CJ165" s="8"/>
      <c r="CK165" s="8"/>
      <c r="CL165" s="8"/>
      <c r="CM165" s="8"/>
      <c r="CN165" s="8"/>
      <c r="CO165" s="8"/>
      <c r="CP165" s="8"/>
      <c r="CQ165" s="9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9"/>
      <c r="DG165" s="9"/>
      <c r="DH165" s="10"/>
      <c r="DI165" s="9"/>
      <c r="DJ165" s="9"/>
      <c r="DK165" s="3"/>
      <c r="DL165" s="3"/>
      <c r="DM165" s="3"/>
    </row>
    <row r="166" ht="11.25" customHeight="1">
      <c r="A166" s="3"/>
      <c r="B166" s="2"/>
      <c r="C166" s="3"/>
      <c r="D166" s="3"/>
      <c r="E166" s="3"/>
      <c r="F166" s="4"/>
      <c r="G166" s="4"/>
      <c r="H166" s="4"/>
      <c r="I166" s="5"/>
      <c r="J166" s="4"/>
      <c r="K166" s="4"/>
      <c r="L166" s="6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3"/>
      <c r="AL166" s="3"/>
      <c r="AM166" s="3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8"/>
      <c r="BU166" s="8"/>
      <c r="BV166" s="8"/>
      <c r="BW166" s="8"/>
      <c r="BX166" s="3"/>
      <c r="BY166" s="3"/>
      <c r="BZ166" s="3"/>
      <c r="CA166" s="8"/>
      <c r="CB166" s="8"/>
      <c r="CC166" s="8"/>
      <c r="CD166" s="8"/>
      <c r="CE166" s="8"/>
      <c r="CF166" s="8"/>
      <c r="CG166" s="9"/>
      <c r="CH166" s="8"/>
      <c r="CI166" s="8"/>
      <c r="CJ166" s="8"/>
      <c r="CK166" s="8"/>
      <c r="CL166" s="8"/>
      <c r="CM166" s="8"/>
      <c r="CN166" s="8"/>
      <c r="CO166" s="8"/>
      <c r="CP166" s="8"/>
      <c r="CQ166" s="9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9"/>
      <c r="DG166" s="9"/>
      <c r="DH166" s="10"/>
      <c r="DI166" s="9"/>
      <c r="DJ166" s="9"/>
      <c r="DK166" s="3"/>
      <c r="DL166" s="3"/>
      <c r="DM166" s="3"/>
    </row>
    <row r="167" ht="11.25" customHeight="1">
      <c r="A167" s="3"/>
      <c r="B167" s="2"/>
      <c r="C167" s="3"/>
      <c r="D167" s="3"/>
      <c r="E167" s="3"/>
      <c r="F167" s="4"/>
      <c r="G167" s="4"/>
      <c r="H167" s="4"/>
      <c r="I167" s="5"/>
      <c r="J167" s="4"/>
      <c r="K167" s="4"/>
      <c r="L167" s="6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3"/>
      <c r="AL167" s="3"/>
      <c r="AM167" s="3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8"/>
      <c r="BU167" s="8"/>
      <c r="BV167" s="8"/>
      <c r="BW167" s="8"/>
      <c r="BX167" s="3"/>
      <c r="BY167" s="3"/>
      <c r="BZ167" s="3"/>
      <c r="CA167" s="8"/>
      <c r="CB167" s="8"/>
      <c r="CC167" s="8"/>
      <c r="CD167" s="8"/>
      <c r="CE167" s="8"/>
      <c r="CF167" s="8"/>
      <c r="CG167" s="9"/>
      <c r="CH167" s="8"/>
      <c r="CI167" s="8"/>
      <c r="CJ167" s="8"/>
      <c r="CK167" s="8"/>
      <c r="CL167" s="8"/>
      <c r="CM167" s="8"/>
      <c r="CN167" s="8"/>
      <c r="CO167" s="8"/>
      <c r="CP167" s="8"/>
      <c r="CQ167" s="9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9"/>
      <c r="DG167" s="9"/>
      <c r="DH167" s="10"/>
      <c r="DI167" s="9"/>
      <c r="DJ167" s="9"/>
      <c r="DK167" s="3"/>
      <c r="DL167" s="3"/>
      <c r="DM167" s="3"/>
    </row>
    <row r="168" ht="11.25" customHeight="1">
      <c r="A168" s="3"/>
      <c r="B168" s="2"/>
      <c r="C168" s="3"/>
      <c r="D168" s="3"/>
      <c r="E168" s="3"/>
      <c r="F168" s="4"/>
      <c r="G168" s="4"/>
      <c r="H168" s="4"/>
      <c r="I168" s="5"/>
      <c r="J168" s="4"/>
      <c r="K168" s="4"/>
      <c r="L168" s="6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3"/>
      <c r="AL168" s="3"/>
      <c r="AM168" s="3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8"/>
      <c r="BU168" s="8"/>
      <c r="BV168" s="8"/>
      <c r="BW168" s="8"/>
      <c r="BX168" s="3"/>
      <c r="BY168" s="3"/>
      <c r="BZ168" s="3"/>
      <c r="CA168" s="8"/>
      <c r="CB168" s="8"/>
      <c r="CC168" s="8"/>
      <c r="CD168" s="8"/>
      <c r="CE168" s="8"/>
      <c r="CF168" s="8"/>
      <c r="CG168" s="9"/>
      <c r="CH168" s="8"/>
      <c r="CI168" s="8"/>
      <c r="CJ168" s="8"/>
      <c r="CK168" s="8"/>
      <c r="CL168" s="8"/>
      <c r="CM168" s="8"/>
      <c r="CN168" s="8"/>
      <c r="CO168" s="8"/>
      <c r="CP168" s="8"/>
      <c r="CQ168" s="9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9"/>
      <c r="DG168" s="9"/>
      <c r="DH168" s="10"/>
      <c r="DI168" s="9"/>
      <c r="DJ168" s="9"/>
      <c r="DK168" s="3"/>
      <c r="DL168" s="3"/>
      <c r="DM168" s="3"/>
    </row>
    <row r="169" ht="11.25" customHeight="1">
      <c r="A169" s="3"/>
      <c r="B169" s="2"/>
      <c r="C169" s="3"/>
      <c r="D169" s="3"/>
      <c r="E169" s="3"/>
      <c r="F169" s="4"/>
      <c r="G169" s="4"/>
      <c r="H169" s="4"/>
      <c r="I169" s="5"/>
      <c r="J169" s="4"/>
      <c r="K169" s="4"/>
      <c r="L169" s="6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3"/>
      <c r="AL169" s="3"/>
      <c r="AM169" s="3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8"/>
      <c r="BU169" s="8"/>
      <c r="BV169" s="8"/>
      <c r="BW169" s="8"/>
      <c r="BX169" s="3"/>
      <c r="BY169" s="3"/>
      <c r="BZ169" s="3"/>
      <c r="CA169" s="8"/>
      <c r="CB169" s="8"/>
      <c r="CC169" s="8"/>
      <c r="CD169" s="8"/>
      <c r="CE169" s="8"/>
      <c r="CF169" s="8"/>
      <c r="CG169" s="9"/>
      <c r="CH169" s="8"/>
      <c r="CI169" s="8"/>
      <c r="CJ169" s="8"/>
      <c r="CK169" s="8"/>
      <c r="CL169" s="8"/>
      <c r="CM169" s="8"/>
      <c r="CN169" s="8"/>
      <c r="CO169" s="8"/>
      <c r="CP169" s="8"/>
      <c r="CQ169" s="9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9"/>
      <c r="DG169" s="9"/>
      <c r="DH169" s="10"/>
      <c r="DI169" s="9"/>
      <c r="DJ169" s="9"/>
      <c r="DK169" s="3"/>
      <c r="DL169" s="3"/>
      <c r="DM169" s="3"/>
    </row>
    <row r="170" ht="11.25" customHeight="1">
      <c r="A170" s="3"/>
      <c r="B170" s="2"/>
      <c r="C170" s="3"/>
      <c r="D170" s="3"/>
      <c r="E170" s="3"/>
      <c r="F170" s="4"/>
      <c r="G170" s="4"/>
      <c r="H170" s="4"/>
      <c r="I170" s="5"/>
      <c r="J170" s="4"/>
      <c r="K170" s="4"/>
      <c r="L170" s="6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3"/>
      <c r="AL170" s="3"/>
      <c r="AM170" s="3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8"/>
      <c r="BU170" s="8"/>
      <c r="BV170" s="8"/>
      <c r="BW170" s="8"/>
      <c r="BX170" s="3"/>
      <c r="BY170" s="3"/>
      <c r="BZ170" s="3"/>
      <c r="CA170" s="8"/>
      <c r="CB170" s="8"/>
      <c r="CC170" s="8"/>
      <c r="CD170" s="8"/>
      <c r="CE170" s="8"/>
      <c r="CF170" s="8"/>
      <c r="CG170" s="9"/>
      <c r="CH170" s="8"/>
      <c r="CI170" s="8"/>
      <c r="CJ170" s="8"/>
      <c r="CK170" s="8"/>
      <c r="CL170" s="8"/>
      <c r="CM170" s="8"/>
      <c r="CN170" s="8"/>
      <c r="CO170" s="8"/>
      <c r="CP170" s="8"/>
      <c r="CQ170" s="9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9"/>
      <c r="DG170" s="9"/>
      <c r="DH170" s="10"/>
      <c r="DI170" s="9"/>
      <c r="DJ170" s="9"/>
      <c r="DK170" s="3"/>
      <c r="DL170" s="3"/>
      <c r="DM170" s="3"/>
    </row>
    <row r="171" ht="11.25" customHeight="1">
      <c r="A171" s="3"/>
      <c r="B171" s="2"/>
      <c r="C171" s="3"/>
      <c r="D171" s="3"/>
      <c r="E171" s="3"/>
      <c r="F171" s="4"/>
      <c r="G171" s="4"/>
      <c r="H171" s="4"/>
      <c r="I171" s="5"/>
      <c r="J171" s="4"/>
      <c r="K171" s="4"/>
      <c r="L171" s="6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3"/>
      <c r="AL171" s="3"/>
      <c r="AM171" s="3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8"/>
      <c r="BU171" s="8"/>
      <c r="BV171" s="8"/>
      <c r="BW171" s="8"/>
      <c r="BX171" s="3"/>
      <c r="BY171" s="3"/>
      <c r="BZ171" s="3"/>
      <c r="CA171" s="8"/>
      <c r="CB171" s="8"/>
      <c r="CC171" s="8"/>
      <c r="CD171" s="8"/>
      <c r="CE171" s="8"/>
      <c r="CF171" s="8"/>
      <c r="CG171" s="9"/>
      <c r="CH171" s="8"/>
      <c r="CI171" s="8"/>
      <c r="CJ171" s="8"/>
      <c r="CK171" s="8"/>
      <c r="CL171" s="8"/>
      <c r="CM171" s="8"/>
      <c r="CN171" s="8"/>
      <c r="CO171" s="8"/>
      <c r="CP171" s="8"/>
      <c r="CQ171" s="9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9"/>
      <c r="DG171" s="9"/>
      <c r="DH171" s="10"/>
      <c r="DI171" s="9"/>
      <c r="DJ171" s="9"/>
      <c r="DK171" s="3"/>
      <c r="DL171" s="3"/>
      <c r="DM171" s="3"/>
    </row>
    <row r="172" ht="11.25" customHeight="1">
      <c r="A172" s="3"/>
      <c r="B172" s="2"/>
      <c r="C172" s="3"/>
      <c r="D172" s="3"/>
      <c r="E172" s="3"/>
      <c r="F172" s="4"/>
      <c r="G172" s="4"/>
      <c r="H172" s="4"/>
      <c r="I172" s="5"/>
      <c r="J172" s="4"/>
      <c r="K172" s="4"/>
      <c r="L172" s="6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3"/>
      <c r="AL172" s="3"/>
      <c r="AM172" s="3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8"/>
      <c r="BU172" s="8"/>
      <c r="BV172" s="8"/>
      <c r="BW172" s="8"/>
      <c r="BX172" s="3"/>
      <c r="BY172" s="3"/>
      <c r="BZ172" s="3"/>
      <c r="CA172" s="8"/>
      <c r="CB172" s="8"/>
      <c r="CC172" s="8"/>
      <c r="CD172" s="8"/>
      <c r="CE172" s="8"/>
      <c r="CF172" s="8"/>
      <c r="CG172" s="9"/>
      <c r="CH172" s="8"/>
      <c r="CI172" s="8"/>
      <c r="CJ172" s="8"/>
      <c r="CK172" s="8"/>
      <c r="CL172" s="8"/>
      <c r="CM172" s="8"/>
      <c r="CN172" s="8"/>
      <c r="CO172" s="8"/>
      <c r="CP172" s="8"/>
      <c r="CQ172" s="9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9"/>
      <c r="DG172" s="9"/>
      <c r="DH172" s="10"/>
      <c r="DI172" s="9"/>
      <c r="DJ172" s="9"/>
      <c r="DK172" s="3"/>
      <c r="DL172" s="3"/>
      <c r="DM172" s="3"/>
    </row>
    <row r="173" ht="11.25" customHeight="1">
      <c r="A173" s="3"/>
      <c r="B173" s="2"/>
      <c r="C173" s="3"/>
      <c r="D173" s="3"/>
      <c r="E173" s="3"/>
      <c r="F173" s="4"/>
      <c r="G173" s="4"/>
      <c r="H173" s="4"/>
      <c r="I173" s="5"/>
      <c r="J173" s="4"/>
      <c r="K173" s="4"/>
      <c r="L173" s="6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3"/>
      <c r="AL173" s="3"/>
      <c r="AM173" s="3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8"/>
      <c r="BU173" s="8"/>
      <c r="BV173" s="8"/>
      <c r="BW173" s="8"/>
      <c r="BX173" s="3"/>
      <c r="BY173" s="3"/>
      <c r="BZ173" s="3"/>
      <c r="CA173" s="8"/>
      <c r="CB173" s="8"/>
      <c r="CC173" s="8"/>
      <c r="CD173" s="8"/>
      <c r="CE173" s="8"/>
      <c r="CF173" s="8"/>
      <c r="CG173" s="9"/>
      <c r="CH173" s="8"/>
      <c r="CI173" s="8"/>
      <c r="CJ173" s="8"/>
      <c r="CK173" s="8"/>
      <c r="CL173" s="8"/>
      <c r="CM173" s="8"/>
      <c r="CN173" s="8"/>
      <c r="CO173" s="8"/>
      <c r="CP173" s="8"/>
      <c r="CQ173" s="9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9"/>
      <c r="DG173" s="9"/>
      <c r="DH173" s="10"/>
      <c r="DI173" s="9"/>
      <c r="DJ173" s="9"/>
      <c r="DK173" s="3"/>
      <c r="DL173" s="3"/>
      <c r="DM173" s="3"/>
    </row>
    <row r="174" ht="11.25" customHeight="1">
      <c r="A174" s="3"/>
      <c r="B174" s="2"/>
      <c r="C174" s="3"/>
      <c r="D174" s="3"/>
      <c r="E174" s="3"/>
      <c r="F174" s="4"/>
      <c r="G174" s="4"/>
      <c r="H174" s="4"/>
      <c r="I174" s="5"/>
      <c r="J174" s="4"/>
      <c r="K174" s="4"/>
      <c r="L174" s="6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3"/>
      <c r="AL174" s="3"/>
      <c r="AM174" s="3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8"/>
      <c r="BU174" s="8"/>
      <c r="BV174" s="8"/>
      <c r="BW174" s="8"/>
      <c r="BX174" s="3"/>
      <c r="BY174" s="3"/>
      <c r="BZ174" s="3"/>
      <c r="CA174" s="8"/>
      <c r="CB174" s="8"/>
      <c r="CC174" s="8"/>
      <c r="CD174" s="8"/>
      <c r="CE174" s="8"/>
      <c r="CF174" s="8"/>
      <c r="CG174" s="9"/>
      <c r="CH174" s="8"/>
      <c r="CI174" s="8"/>
      <c r="CJ174" s="8"/>
      <c r="CK174" s="8"/>
      <c r="CL174" s="8"/>
      <c r="CM174" s="8"/>
      <c r="CN174" s="8"/>
      <c r="CO174" s="8"/>
      <c r="CP174" s="8"/>
      <c r="CQ174" s="9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9"/>
      <c r="DG174" s="9"/>
      <c r="DH174" s="10"/>
      <c r="DI174" s="9"/>
      <c r="DJ174" s="9"/>
      <c r="DK174" s="3"/>
      <c r="DL174" s="3"/>
      <c r="DM174" s="3"/>
    </row>
    <row r="175" ht="11.25" customHeight="1">
      <c r="A175" s="3"/>
      <c r="B175" s="2"/>
      <c r="C175" s="3"/>
      <c r="D175" s="3"/>
      <c r="E175" s="3"/>
      <c r="F175" s="4"/>
      <c r="G175" s="4"/>
      <c r="H175" s="4"/>
      <c r="I175" s="5"/>
      <c r="J175" s="4"/>
      <c r="K175" s="4"/>
      <c r="L175" s="6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3"/>
      <c r="AL175" s="3"/>
      <c r="AM175" s="3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8"/>
      <c r="BU175" s="8"/>
      <c r="BV175" s="8"/>
      <c r="BW175" s="8"/>
      <c r="BX175" s="3"/>
      <c r="BY175" s="3"/>
      <c r="BZ175" s="3"/>
      <c r="CA175" s="8"/>
      <c r="CB175" s="8"/>
      <c r="CC175" s="8"/>
      <c r="CD175" s="8"/>
      <c r="CE175" s="8"/>
      <c r="CF175" s="8"/>
      <c r="CG175" s="9"/>
      <c r="CH175" s="8"/>
      <c r="CI175" s="8"/>
      <c r="CJ175" s="8"/>
      <c r="CK175" s="8"/>
      <c r="CL175" s="8"/>
      <c r="CM175" s="8"/>
      <c r="CN175" s="8"/>
      <c r="CO175" s="8"/>
      <c r="CP175" s="8"/>
      <c r="CQ175" s="9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9"/>
      <c r="DG175" s="9"/>
      <c r="DH175" s="10"/>
      <c r="DI175" s="9"/>
      <c r="DJ175" s="9"/>
      <c r="DK175" s="3"/>
      <c r="DL175" s="3"/>
      <c r="DM175" s="3"/>
    </row>
    <row r="176" ht="11.25" customHeight="1">
      <c r="A176" s="3"/>
      <c r="B176" s="2"/>
      <c r="C176" s="3"/>
      <c r="D176" s="3"/>
      <c r="E176" s="3"/>
      <c r="F176" s="4"/>
      <c r="G176" s="4"/>
      <c r="H176" s="4"/>
      <c r="I176" s="5"/>
      <c r="J176" s="4"/>
      <c r="K176" s="4"/>
      <c r="L176" s="6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3"/>
      <c r="AL176" s="3"/>
      <c r="AM176" s="3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8"/>
      <c r="BU176" s="8"/>
      <c r="BV176" s="8"/>
      <c r="BW176" s="8"/>
      <c r="BX176" s="3"/>
      <c r="BY176" s="3"/>
      <c r="BZ176" s="3"/>
      <c r="CA176" s="8"/>
      <c r="CB176" s="8"/>
      <c r="CC176" s="8"/>
      <c r="CD176" s="8"/>
      <c r="CE176" s="8"/>
      <c r="CF176" s="8"/>
      <c r="CG176" s="9"/>
      <c r="CH176" s="8"/>
      <c r="CI176" s="8"/>
      <c r="CJ176" s="8"/>
      <c r="CK176" s="8"/>
      <c r="CL176" s="8"/>
      <c r="CM176" s="8"/>
      <c r="CN176" s="8"/>
      <c r="CO176" s="8"/>
      <c r="CP176" s="8"/>
      <c r="CQ176" s="9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9"/>
      <c r="DG176" s="9"/>
      <c r="DH176" s="10"/>
      <c r="DI176" s="9"/>
      <c r="DJ176" s="9"/>
      <c r="DK176" s="3"/>
      <c r="DL176" s="3"/>
      <c r="DM176" s="3"/>
    </row>
    <row r="177" ht="11.25" customHeight="1">
      <c r="A177" s="3"/>
      <c r="B177" s="2"/>
      <c r="C177" s="3"/>
      <c r="D177" s="3"/>
      <c r="E177" s="3"/>
      <c r="F177" s="4"/>
      <c r="G177" s="4"/>
      <c r="H177" s="4"/>
      <c r="I177" s="5"/>
      <c r="J177" s="4"/>
      <c r="K177" s="4"/>
      <c r="L177" s="6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3"/>
      <c r="AL177" s="3"/>
      <c r="AM177" s="3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8"/>
      <c r="BU177" s="8"/>
      <c r="BV177" s="8"/>
      <c r="BW177" s="8"/>
      <c r="BX177" s="3"/>
      <c r="BY177" s="3"/>
      <c r="BZ177" s="3"/>
      <c r="CA177" s="8"/>
      <c r="CB177" s="8"/>
      <c r="CC177" s="8"/>
      <c r="CD177" s="8"/>
      <c r="CE177" s="8"/>
      <c r="CF177" s="8"/>
      <c r="CG177" s="9"/>
      <c r="CH177" s="8"/>
      <c r="CI177" s="8"/>
      <c r="CJ177" s="8"/>
      <c r="CK177" s="8"/>
      <c r="CL177" s="8"/>
      <c r="CM177" s="8"/>
      <c r="CN177" s="8"/>
      <c r="CO177" s="8"/>
      <c r="CP177" s="8"/>
      <c r="CQ177" s="9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9"/>
      <c r="DG177" s="9"/>
      <c r="DH177" s="10"/>
      <c r="DI177" s="9"/>
      <c r="DJ177" s="9"/>
      <c r="DK177" s="3"/>
      <c r="DL177" s="3"/>
      <c r="DM177" s="3"/>
    </row>
    <row r="178" ht="11.25" customHeight="1">
      <c r="A178" s="3"/>
      <c r="B178" s="2"/>
      <c r="C178" s="3"/>
      <c r="D178" s="3"/>
      <c r="E178" s="3"/>
      <c r="F178" s="4"/>
      <c r="G178" s="4"/>
      <c r="H178" s="4"/>
      <c r="I178" s="5"/>
      <c r="J178" s="4"/>
      <c r="K178" s="4"/>
      <c r="L178" s="6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3"/>
      <c r="AL178" s="3"/>
      <c r="AM178" s="3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8"/>
      <c r="BU178" s="8"/>
      <c r="BV178" s="8"/>
      <c r="BW178" s="8"/>
      <c r="BX178" s="3"/>
      <c r="BY178" s="3"/>
      <c r="BZ178" s="3"/>
      <c r="CA178" s="8"/>
      <c r="CB178" s="8"/>
      <c r="CC178" s="8"/>
      <c r="CD178" s="8"/>
      <c r="CE178" s="8"/>
      <c r="CF178" s="8"/>
      <c r="CG178" s="9"/>
      <c r="CH178" s="8"/>
      <c r="CI178" s="8"/>
      <c r="CJ178" s="8"/>
      <c r="CK178" s="8"/>
      <c r="CL178" s="8"/>
      <c r="CM178" s="8"/>
      <c r="CN178" s="8"/>
      <c r="CO178" s="8"/>
      <c r="CP178" s="8"/>
      <c r="CQ178" s="9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9"/>
      <c r="DG178" s="9"/>
      <c r="DH178" s="10"/>
      <c r="DI178" s="9"/>
      <c r="DJ178" s="9"/>
      <c r="DK178" s="3"/>
      <c r="DL178" s="3"/>
      <c r="DM178" s="3"/>
    </row>
    <row r="179" ht="11.25" customHeight="1">
      <c r="A179" s="3"/>
      <c r="B179" s="2"/>
      <c r="C179" s="3"/>
      <c r="D179" s="3"/>
      <c r="E179" s="3"/>
      <c r="F179" s="4"/>
      <c r="G179" s="4"/>
      <c r="H179" s="4"/>
      <c r="I179" s="5"/>
      <c r="J179" s="4"/>
      <c r="K179" s="4"/>
      <c r="L179" s="6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3"/>
      <c r="AL179" s="3"/>
      <c r="AM179" s="3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8"/>
      <c r="BU179" s="8"/>
      <c r="BV179" s="8"/>
      <c r="BW179" s="8"/>
      <c r="BX179" s="3"/>
      <c r="BY179" s="3"/>
      <c r="BZ179" s="3"/>
      <c r="CA179" s="8"/>
      <c r="CB179" s="8"/>
      <c r="CC179" s="8"/>
      <c r="CD179" s="8"/>
      <c r="CE179" s="8"/>
      <c r="CF179" s="8"/>
      <c r="CG179" s="9"/>
      <c r="CH179" s="8"/>
      <c r="CI179" s="8"/>
      <c r="CJ179" s="8"/>
      <c r="CK179" s="8"/>
      <c r="CL179" s="8"/>
      <c r="CM179" s="8"/>
      <c r="CN179" s="8"/>
      <c r="CO179" s="8"/>
      <c r="CP179" s="8"/>
      <c r="CQ179" s="9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9"/>
      <c r="DG179" s="9"/>
      <c r="DH179" s="10"/>
      <c r="DI179" s="9"/>
      <c r="DJ179" s="9"/>
      <c r="DK179" s="3"/>
      <c r="DL179" s="3"/>
      <c r="DM179" s="3"/>
    </row>
    <row r="180" ht="11.25" customHeight="1">
      <c r="A180" s="3"/>
      <c r="B180" s="2"/>
      <c r="C180" s="3"/>
      <c r="D180" s="3"/>
      <c r="E180" s="3"/>
      <c r="F180" s="4"/>
      <c r="G180" s="4"/>
      <c r="H180" s="4"/>
      <c r="I180" s="5"/>
      <c r="J180" s="4"/>
      <c r="K180" s="4"/>
      <c r="L180" s="6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3"/>
      <c r="AL180" s="3"/>
      <c r="AM180" s="3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8"/>
      <c r="BU180" s="8"/>
      <c r="BV180" s="8"/>
      <c r="BW180" s="8"/>
      <c r="BX180" s="3"/>
      <c r="BY180" s="3"/>
      <c r="BZ180" s="3"/>
      <c r="CA180" s="8"/>
      <c r="CB180" s="8"/>
      <c r="CC180" s="8"/>
      <c r="CD180" s="8"/>
      <c r="CE180" s="8"/>
      <c r="CF180" s="8"/>
      <c r="CG180" s="9"/>
      <c r="CH180" s="8"/>
      <c r="CI180" s="8"/>
      <c r="CJ180" s="8"/>
      <c r="CK180" s="8"/>
      <c r="CL180" s="8"/>
      <c r="CM180" s="8"/>
      <c r="CN180" s="8"/>
      <c r="CO180" s="8"/>
      <c r="CP180" s="8"/>
      <c r="CQ180" s="9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9"/>
      <c r="DG180" s="9"/>
      <c r="DH180" s="10"/>
      <c r="DI180" s="9"/>
      <c r="DJ180" s="9"/>
      <c r="DK180" s="3"/>
      <c r="DL180" s="3"/>
      <c r="DM180" s="3"/>
    </row>
    <row r="181" ht="11.25" customHeight="1">
      <c r="A181" s="3"/>
      <c r="B181" s="2"/>
      <c r="C181" s="3"/>
      <c r="D181" s="3"/>
      <c r="E181" s="3"/>
      <c r="F181" s="4"/>
      <c r="G181" s="4"/>
      <c r="H181" s="4"/>
      <c r="I181" s="5"/>
      <c r="J181" s="4"/>
      <c r="K181" s="4"/>
      <c r="L181" s="6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3"/>
      <c r="AL181" s="3"/>
      <c r="AM181" s="3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8"/>
      <c r="BU181" s="8"/>
      <c r="BV181" s="8"/>
      <c r="BW181" s="8"/>
      <c r="BX181" s="3"/>
      <c r="BY181" s="3"/>
      <c r="BZ181" s="3"/>
      <c r="CA181" s="8"/>
      <c r="CB181" s="8"/>
      <c r="CC181" s="8"/>
      <c r="CD181" s="8"/>
      <c r="CE181" s="8"/>
      <c r="CF181" s="8"/>
      <c r="CG181" s="9"/>
      <c r="CH181" s="8"/>
      <c r="CI181" s="8"/>
      <c r="CJ181" s="8"/>
      <c r="CK181" s="8"/>
      <c r="CL181" s="8"/>
      <c r="CM181" s="8"/>
      <c r="CN181" s="8"/>
      <c r="CO181" s="8"/>
      <c r="CP181" s="8"/>
      <c r="CQ181" s="9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9"/>
      <c r="DG181" s="9"/>
      <c r="DH181" s="10"/>
      <c r="DI181" s="9"/>
      <c r="DJ181" s="9"/>
      <c r="DK181" s="3"/>
      <c r="DL181" s="3"/>
      <c r="DM181" s="3"/>
    </row>
    <row r="182" ht="11.25" customHeight="1">
      <c r="A182" s="3"/>
      <c r="B182" s="2"/>
      <c r="C182" s="3"/>
      <c r="D182" s="3"/>
      <c r="E182" s="3"/>
      <c r="F182" s="4"/>
      <c r="G182" s="4"/>
      <c r="H182" s="4"/>
      <c r="I182" s="5"/>
      <c r="J182" s="4"/>
      <c r="K182" s="4"/>
      <c r="L182" s="6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3"/>
      <c r="AL182" s="3"/>
      <c r="AM182" s="3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8"/>
      <c r="BU182" s="8"/>
      <c r="BV182" s="8"/>
      <c r="BW182" s="8"/>
      <c r="BX182" s="3"/>
      <c r="BY182" s="3"/>
      <c r="BZ182" s="3"/>
      <c r="CA182" s="8"/>
      <c r="CB182" s="8"/>
      <c r="CC182" s="8"/>
      <c r="CD182" s="8"/>
      <c r="CE182" s="8"/>
      <c r="CF182" s="8"/>
      <c r="CG182" s="9"/>
      <c r="CH182" s="8"/>
      <c r="CI182" s="8"/>
      <c r="CJ182" s="8"/>
      <c r="CK182" s="8"/>
      <c r="CL182" s="8"/>
      <c r="CM182" s="8"/>
      <c r="CN182" s="8"/>
      <c r="CO182" s="8"/>
      <c r="CP182" s="8"/>
      <c r="CQ182" s="9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9"/>
      <c r="DG182" s="9"/>
      <c r="DH182" s="10"/>
      <c r="DI182" s="9"/>
      <c r="DJ182" s="9"/>
      <c r="DK182" s="3"/>
      <c r="DL182" s="3"/>
      <c r="DM182" s="3"/>
    </row>
    <row r="183" ht="11.25" customHeight="1">
      <c r="A183" s="3"/>
      <c r="B183" s="2"/>
      <c r="C183" s="3"/>
      <c r="D183" s="3"/>
      <c r="E183" s="3"/>
      <c r="F183" s="4"/>
      <c r="G183" s="4"/>
      <c r="H183" s="4"/>
      <c r="I183" s="5"/>
      <c r="J183" s="4"/>
      <c r="K183" s="4"/>
      <c r="L183" s="6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3"/>
      <c r="AL183" s="3"/>
      <c r="AM183" s="3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8"/>
      <c r="BU183" s="8"/>
      <c r="BV183" s="8"/>
      <c r="BW183" s="8"/>
      <c r="BX183" s="3"/>
      <c r="BY183" s="3"/>
      <c r="BZ183" s="3"/>
      <c r="CA183" s="8"/>
      <c r="CB183" s="8"/>
      <c r="CC183" s="8"/>
      <c r="CD183" s="8"/>
      <c r="CE183" s="8"/>
      <c r="CF183" s="8"/>
      <c r="CG183" s="9"/>
      <c r="CH183" s="8"/>
      <c r="CI183" s="8"/>
      <c r="CJ183" s="8"/>
      <c r="CK183" s="8"/>
      <c r="CL183" s="8"/>
      <c r="CM183" s="8"/>
      <c r="CN183" s="8"/>
      <c r="CO183" s="8"/>
      <c r="CP183" s="8"/>
      <c r="CQ183" s="9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9"/>
      <c r="DG183" s="9"/>
      <c r="DH183" s="10"/>
      <c r="DI183" s="9"/>
      <c r="DJ183" s="9"/>
      <c r="DK183" s="3"/>
      <c r="DL183" s="3"/>
      <c r="DM183" s="3"/>
    </row>
    <row r="184" ht="11.25" customHeight="1">
      <c r="A184" s="3"/>
      <c r="B184" s="2"/>
      <c r="C184" s="3"/>
      <c r="D184" s="3"/>
      <c r="E184" s="3"/>
      <c r="F184" s="4"/>
      <c r="G184" s="4"/>
      <c r="H184" s="4"/>
      <c r="I184" s="5"/>
      <c r="J184" s="4"/>
      <c r="K184" s="4"/>
      <c r="L184" s="6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3"/>
      <c r="AL184" s="3"/>
      <c r="AM184" s="3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8"/>
      <c r="BU184" s="8"/>
      <c r="BV184" s="8"/>
      <c r="BW184" s="8"/>
      <c r="BX184" s="3"/>
      <c r="BY184" s="3"/>
      <c r="BZ184" s="3"/>
      <c r="CA184" s="8"/>
      <c r="CB184" s="8"/>
      <c r="CC184" s="8"/>
      <c r="CD184" s="8"/>
      <c r="CE184" s="8"/>
      <c r="CF184" s="8"/>
      <c r="CG184" s="9"/>
      <c r="CH184" s="8"/>
      <c r="CI184" s="8"/>
      <c r="CJ184" s="8"/>
      <c r="CK184" s="8"/>
      <c r="CL184" s="8"/>
      <c r="CM184" s="8"/>
      <c r="CN184" s="8"/>
      <c r="CO184" s="8"/>
      <c r="CP184" s="8"/>
      <c r="CQ184" s="9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9"/>
      <c r="DG184" s="9"/>
      <c r="DH184" s="10"/>
      <c r="DI184" s="9"/>
      <c r="DJ184" s="9"/>
      <c r="DK184" s="3"/>
      <c r="DL184" s="3"/>
      <c r="DM184" s="3"/>
    </row>
    <row r="185" ht="11.25" customHeight="1">
      <c r="A185" s="3"/>
      <c r="B185" s="2"/>
      <c r="C185" s="3"/>
      <c r="D185" s="3"/>
      <c r="E185" s="3"/>
      <c r="F185" s="4"/>
      <c r="G185" s="4"/>
      <c r="H185" s="4"/>
      <c r="I185" s="5"/>
      <c r="J185" s="4"/>
      <c r="K185" s="4"/>
      <c r="L185" s="6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3"/>
      <c r="AL185" s="3"/>
      <c r="AM185" s="3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8"/>
      <c r="BU185" s="8"/>
      <c r="BV185" s="8"/>
      <c r="BW185" s="8"/>
      <c r="BX185" s="3"/>
      <c r="BY185" s="3"/>
      <c r="BZ185" s="3"/>
      <c r="CA185" s="8"/>
      <c r="CB185" s="8"/>
      <c r="CC185" s="8"/>
      <c r="CD185" s="8"/>
      <c r="CE185" s="8"/>
      <c r="CF185" s="8"/>
      <c r="CG185" s="9"/>
      <c r="CH185" s="8"/>
      <c r="CI185" s="8"/>
      <c r="CJ185" s="8"/>
      <c r="CK185" s="8"/>
      <c r="CL185" s="8"/>
      <c r="CM185" s="8"/>
      <c r="CN185" s="8"/>
      <c r="CO185" s="8"/>
      <c r="CP185" s="8"/>
      <c r="CQ185" s="9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9"/>
      <c r="DG185" s="9"/>
      <c r="DH185" s="10"/>
      <c r="DI185" s="9"/>
      <c r="DJ185" s="9"/>
      <c r="DK185" s="3"/>
      <c r="DL185" s="3"/>
      <c r="DM185" s="3"/>
    </row>
    <row r="186" ht="11.25" customHeight="1">
      <c r="A186" s="3"/>
      <c r="B186" s="2"/>
      <c r="C186" s="3"/>
      <c r="D186" s="3"/>
      <c r="E186" s="3"/>
      <c r="F186" s="4"/>
      <c r="G186" s="4"/>
      <c r="H186" s="4"/>
      <c r="I186" s="5"/>
      <c r="J186" s="4"/>
      <c r="K186" s="4"/>
      <c r="L186" s="6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3"/>
      <c r="AL186" s="3"/>
      <c r="AM186" s="3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8"/>
      <c r="BU186" s="8"/>
      <c r="BV186" s="8"/>
      <c r="BW186" s="8"/>
      <c r="BX186" s="3"/>
      <c r="BY186" s="3"/>
      <c r="BZ186" s="3"/>
      <c r="CA186" s="8"/>
      <c r="CB186" s="8"/>
      <c r="CC186" s="8"/>
      <c r="CD186" s="8"/>
      <c r="CE186" s="8"/>
      <c r="CF186" s="8"/>
      <c r="CG186" s="9"/>
      <c r="CH186" s="8"/>
      <c r="CI186" s="8"/>
      <c r="CJ186" s="8"/>
      <c r="CK186" s="8"/>
      <c r="CL186" s="8"/>
      <c r="CM186" s="8"/>
      <c r="CN186" s="8"/>
      <c r="CO186" s="8"/>
      <c r="CP186" s="8"/>
      <c r="CQ186" s="9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9"/>
      <c r="DG186" s="9"/>
      <c r="DH186" s="10"/>
      <c r="DI186" s="9"/>
      <c r="DJ186" s="9"/>
      <c r="DK186" s="3"/>
      <c r="DL186" s="3"/>
      <c r="DM186" s="3"/>
    </row>
    <row r="187" ht="11.25" customHeight="1">
      <c r="A187" s="3"/>
      <c r="B187" s="2"/>
      <c r="C187" s="3"/>
      <c r="D187" s="3"/>
      <c r="E187" s="3"/>
      <c r="F187" s="4"/>
      <c r="G187" s="4"/>
      <c r="H187" s="4"/>
      <c r="I187" s="5"/>
      <c r="J187" s="4"/>
      <c r="K187" s="4"/>
      <c r="L187" s="6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3"/>
      <c r="AL187" s="3"/>
      <c r="AM187" s="3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8"/>
      <c r="BU187" s="8"/>
      <c r="BV187" s="8"/>
      <c r="BW187" s="8"/>
      <c r="BX187" s="3"/>
      <c r="BY187" s="3"/>
      <c r="BZ187" s="3"/>
      <c r="CA187" s="8"/>
      <c r="CB187" s="8"/>
      <c r="CC187" s="8"/>
      <c r="CD187" s="8"/>
      <c r="CE187" s="8"/>
      <c r="CF187" s="8"/>
      <c r="CG187" s="9"/>
      <c r="CH187" s="8"/>
      <c r="CI187" s="8"/>
      <c r="CJ187" s="8"/>
      <c r="CK187" s="8"/>
      <c r="CL187" s="8"/>
      <c r="CM187" s="8"/>
      <c r="CN187" s="8"/>
      <c r="CO187" s="8"/>
      <c r="CP187" s="8"/>
      <c r="CQ187" s="9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9"/>
      <c r="DG187" s="9"/>
      <c r="DH187" s="10"/>
      <c r="DI187" s="9"/>
      <c r="DJ187" s="9"/>
      <c r="DK187" s="3"/>
      <c r="DL187" s="3"/>
      <c r="DM187" s="3"/>
    </row>
    <row r="188" ht="11.25" customHeight="1">
      <c r="A188" s="3"/>
      <c r="B188" s="2"/>
      <c r="C188" s="3"/>
      <c r="D188" s="3"/>
      <c r="E188" s="3"/>
      <c r="F188" s="4"/>
      <c r="G188" s="4"/>
      <c r="H188" s="4"/>
      <c r="I188" s="5"/>
      <c r="J188" s="4"/>
      <c r="K188" s="4"/>
      <c r="L188" s="6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3"/>
      <c r="AL188" s="3"/>
      <c r="AM188" s="3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8"/>
      <c r="BU188" s="8"/>
      <c r="BV188" s="8"/>
      <c r="BW188" s="8"/>
      <c r="BX188" s="3"/>
      <c r="BY188" s="3"/>
      <c r="BZ188" s="3"/>
      <c r="CA188" s="8"/>
      <c r="CB188" s="8"/>
      <c r="CC188" s="8"/>
      <c r="CD188" s="8"/>
      <c r="CE188" s="8"/>
      <c r="CF188" s="8"/>
      <c r="CG188" s="9"/>
      <c r="CH188" s="8"/>
      <c r="CI188" s="8"/>
      <c r="CJ188" s="8"/>
      <c r="CK188" s="8"/>
      <c r="CL188" s="8"/>
      <c r="CM188" s="8"/>
      <c r="CN188" s="8"/>
      <c r="CO188" s="8"/>
      <c r="CP188" s="8"/>
      <c r="CQ188" s="9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9"/>
      <c r="DG188" s="9"/>
      <c r="DH188" s="10"/>
      <c r="DI188" s="9"/>
      <c r="DJ188" s="9"/>
      <c r="DK188" s="3"/>
      <c r="DL188" s="3"/>
      <c r="DM188" s="3"/>
    </row>
    <row r="189" ht="11.25" customHeight="1">
      <c r="A189" s="3"/>
      <c r="B189" s="2"/>
      <c r="C189" s="3"/>
      <c r="D189" s="3"/>
      <c r="E189" s="3"/>
      <c r="F189" s="4"/>
      <c r="G189" s="4"/>
      <c r="H189" s="4"/>
      <c r="I189" s="5"/>
      <c r="J189" s="4"/>
      <c r="K189" s="4"/>
      <c r="L189" s="6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3"/>
      <c r="AL189" s="3"/>
      <c r="AM189" s="3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8"/>
      <c r="BU189" s="8"/>
      <c r="BV189" s="8"/>
      <c r="BW189" s="8"/>
      <c r="BX189" s="3"/>
      <c r="BY189" s="3"/>
      <c r="BZ189" s="3"/>
      <c r="CA189" s="8"/>
      <c r="CB189" s="8"/>
      <c r="CC189" s="8"/>
      <c r="CD189" s="8"/>
      <c r="CE189" s="8"/>
      <c r="CF189" s="8"/>
      <c r="CG189" s="9"/>
      <c r="CH189" s="8"/>
      <c r="CI189" s="8"/>
      <c r="CJ189" s="8"/>
      <c r="CK189" s="8"/>
      <c r="CL189" s="8"/>
      <c r="CM189" s="8"/>
      <c r="CN189" s="8"/>
      <c r="CO189" s="8"/>
      <c r="CP189" s="8"/>
      <c r="CQ189" s="9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9"/>
      <c r="DG189" s="9"/>
      <c r="DH189" s="10"/>
      <c r="DI189" s="9"/>
      <c r="DJ189" s="9"/>
      <c r="DK189" s="3"/>
      <c r="DL189" s="3"/>
      <c r="DM189" s="3"/>
    </row>
    <row r="190" ht="11.25" customHeight="1">
      <c r="A190" s="3"/>
      <c r="B190" s="2"/>
      <c r="C190" s="3"/>
      <c r="D190" s="3"/>
      <c r="E190" s="3"/>
      <c r="F190" s="4"/>
      <c r="G190" s="4"/>
      <c r="H190" s="4"/>
      <c r="I190" s="5"/>
      <c r="J190" s="4"/>
      <c r="K190" s="4"/>
      <c r="L190" s="6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3"/>
      <c r="AL190" s="3"/>
      <c r="AM190" s="3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8"/>
      <c r="BU190" s="8"/>
      <c r="BV190" s="8"/>
      <c r="BW190" s="8"/>
      <c r="BX190" s="3"/>
      <c r="BY190" s="3"/>
      <c r="BZ190" s="3"/>
      <c r="CA190" s="8"/>
      <c r="CB190" s="8"/>
      <c r="CC190" s="8"/>
      <c r="CD190" s="8"/>
      <c r="CE190" s="8"/>
      <c r="CF190" s="8"/>
      <c r="CG190" s="9"/>
      <c r="CH190" s="8"/>
      <c r="CI190" s="8"/>
      <c r="CJ190" s="8"/>
      <c r="CK190" s="8"/>
      <c r="CL190" s="8"/>
      <c r="CM190" s="8"/>
      <c r="CN190" s="8"/>
      <c r="CO190" s="8"/>
      <c r="CP190" s="8"/>
      <c r="CQ190" s="9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9"/>
      <c r="DG190" s="9"/>
      <c r="DH190" s="10"/>
      <c r="DI190" s="9"/>
      <c r="DJ190" s="9"/>
      <c r="DK190" s="3"/>
      <c r="DL190" s="3"/>
      <c r="DM190" s="3"/>
    </row>
    <row r="191" ht="11.25" customHeight="1">
      <c r="A191" s="3"/>
      <c r="B191" s="2"/>
      <c r="C191" s="3"/>
      <c r="D191" s="3"/>
      <c r="E191" s="3"/>
      <c r="F191" s="4"/>
      <c r="G191" s="4"/>
      <c r="H191" s="4"/>
      <c r="I191" s="5"/>
      <c r="J191" s="4"/>
      <c r="K191" s="4"/>
      <c r="L191" s="6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3"/>
      <c r="AL191" s="3"/>
      <c r="AM191" s="3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8"/>
      <c r="BU191" s="8"/>
      <c r="BV191" s="8"/>
      <c r="BW191" s="8"/>
      <c r="BX191" s="3"/>
      <c r="BY191" s="3"/>
      <c r="BZ191" s="3"/>
      <c r="CA191" s="8"/>
      <c r="CB191" s="8"/>
      <c r="CC191" s="8"/>
      <c r="CD191" s="8"/>
      <c r="CE191" s="8"/>
      <c r="CF191" s="8"/>
      <c r="CG191" s="9"/>
      <c r="CH191" s="8"/>
      <c r="CI191" s="8"/>
      <c r="CJ191" s="8"/>
      <c r="CK191" s="8"/>
      <c r="CL191" s="8"/>
      <c r="CM191" s="8"/>
      <c r="CN191" s="8"/>
      <c r="CO191" s="8"/>
      <c r="CP191" s="8"/>
      <c r="CQ191" s="9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9"/>
      <c r="DG191" s="9"/>
      <c r="DH191" s="10"/>
      <c r="DI191" s="9"/>
      <c r="DJ191" s="9"/>
      <c r="DK191" s="3"/>
      <c r="DL191" s="3"/>
      <c r="DM191" s="3"/>
    </row>
    <row r="192" ht="11.25" customHeight="1">
      <c r="A192" s="3"/>
      <c r="B192" s="2"/>
      <c r="C192" s="3"/>
      <c r="D192" s="3"/>
      <c r="E192" s="3"/>
      <c r="F192" s="4"/>
      <c r="G192" s="4"/>
      <c r="H192" s="4"/>
      <c r="I192" s="5"/>
      <c r="J192" s="4"/>
      <c r="K192" s="4"/>
      <c r="L192" s="6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3"/>
      <c r="AL192" s="3"/>
      <c r="AM192" s="3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8"/>
      <c r="BU192" s="8"/>
      <c r="BV192" s="8"/>
      <c r="BW192" s="8"/>
      <c r="BX192" s="3"/>
      <c r="BY192" s="3"/>
      <c r="BZ192" s="3"/>
      <c r="CA192" s="8"/>
      <c r="CB192" s="8"/>
      <c r="CC192" s="8"/>
      <c r="CD192" s="8"/>
      <c r="CE192" s="8"/>
      <c r="CF192" s="8"/>
      <c r="CG192" s="9"/>
      <c r="CH192" s="8"/>
      <c r="CI192" s="8"/>
      <c r="CJ192" s="8"/>
      <c r="CK192" s="8"/>
      <c r="CL192" s="8"/>
      <c r="CM192" s="8"/>
      <c r="CN192" s="8"/>
      <c r="CO192" s="8"/>
      <c r="CP192" s="8"/>
      <c r="CQ192" s="9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9"/>
      <c r="DG192" s="9"/>
      <c r="DH192" s="10"/>
      <c r="DI192" s="9"/>
      <c r="DJ192" s="9"/>
      <c r="DK192" s="3"/>
      <c r="DL192" s="3"/>
      <c r="DM192" s="3"/>
    </row>
    <row r="193" ht="11.25" customHeight="1">
      <c r="A193" s="3"/>
      <c r="B193" s="2"/>
      <c r="C193" s="3"/>
      <c r="D193" s="3"/>
      <c r="E193" s="3"/>
      <c r="F193" s="4"/>
      <c r="G193" s="4"/>
      <c r="H193" s="4"/>
      <c r="I193" s="5"/>
      <c r="J193" s="4"/>
      <c r="K193" s="4"/>
      <c r="L193" s="6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3"/>
      <c r="AL193" s="3"/>
      <c r="AM193" s="3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8"/>
      <c r="BU193" s="8"/>
      <c r="BV193" s="8"/>
      <c r="BW193" s="8"/>
      <c r="BX193" s="3"/>
      <c r="BY193" s="3"/>
      <c r="BZ193" s="3"/>
      <c r="CA193" s="8"/>
      <c r="CB193" s="8"/>
      <c r="CC193" s="8"/>
      <c r="CD193" s="8"/>
      <c r="CE193" s="8"/>
      <c r="CF193" s="8"/>
      <c r="CG193" s="9"/>
      <c r="CH193" s="8"/>
      <c r="CI193" s="8"/>
      <c r="CJ193" s="8"/>
      <c r="CK193" s="8"/>
      <c r="CL193" s="8"/>
      <c r="CM193" s="8"/>
      <c r="CN193" s="8"/>
      <c r="CO193" s="8"/>
      <c r="CP193" s="8"/>
      <c r="CQ193" s="9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9"/>
      <c r="DG193" s="9"/>
      <c r="DH193" s="10"/>
      <c r="DI193" s="9"/>
      <c r="DJ193" s="9"/>
      <c r="DK193" s="3"/>
      <c r="DL193" s="3"/>
      <c r="DM193" s="3"/>
    </row>
    <row r="194" ht="11.25" customHeight="1">
      <c r="A194" s="3"/>
      <c r="B194" s="2"/>
      <c r="C194" s="3"/>
      <c r="D194" s="3"/>
      <c r="E194" s="3"/>
      <c r="F194" s="4"/>
      <c r="G194" s="4"/>
      <c r="H194" s="4"/>
      <c r="I194" s="5"/>
      <c r="J194" s="4"/>
      <c r="K194" s="4"/>
      <c r="L194" s="6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3"/>
      <c r="AL194" s="3"/>
      <c r="AM194" s="3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8"/>
      <c r="BU194" s="8"/>
      <c r="BV194" s="8"/>
      <c r="BW194" s="8"/>
      <c r="BX194" s="3"/>
      <c r="BY194" s="3"/>
      <c r="BZ194" s="3"/>
      <c r="CA194" s="8"/>
      <c r="CB194" s="8"/>
      <c r="CC194" s="8"/>
      <c r="CD194" s="8"/>
      <c r="CE194" s="8"/>
      <c r="CF194" s="8"/>
      <c r="CG194" s="9"/>
      <c r="CH194" s="8"/>
      <c r="CI194" s="8"/>
      <c r="CJ194" s="8"/>
      <c r="CK194" s="8"/>
      <c r="CL194" s="8"/>
      <c r="CM194" s="8"/>
      <c r="CN194" s="8"/>
      <c r="CO194" s="8"/>
      <c r="CP194" s="8"/>
      <c r="CQ194" s="9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9"/>
      <c r="DG194" s="9"/>
      <c r="DH194" s="10"/>
      <c r="DI194" s="9"/>
      <c r="DJ194" s="9"/>
      <c r="DK194" s="3"/>
      <c r="DL194" s="3"/>
      <c r="DM194" s="3"/>
    </row>
    <row r="195" ht="11.25" customHeight="1">
      <c r="A195" s="3"/>
      <c r="B195" s="2"/>
      <c r="C195" s="3"/>
      <c r="D195" s="3"/>
      <c r="E195" s="3"/>
      <c r="F195" s="4"/>
      <c r="G195" s="4"/>
      <c r="H195" s="4"/>
      <c r="I195" s="5"/>
      <c r="J195" s="4"/>
      <c r="K195" s="4"/>
      <c r="L195" s="6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3"/>
      <c r="AL195" s="3"/>
      <c r="AM195" s="3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8"/>
      <c r="BU195" s="8"/>
      <c r="BV195" s="8"/>
      <c r="BW195" s="8"/>
      <c r="BX195" s="3"/>
      <c r="BY195" s="3"/>
      <c r="BZ195" s="3"/>
      <c r="CA195" s="8"/>
      <c r="CB195" s="8"/>
      <c r="CC195" s="8"/>
      <c r="CD195" s="8"/>
      <c r="CE195" s="8"/>
      <c r="CF195" s="8"/>
      <c r="CG195" s="9"/>
      <c r="CH195" s="8"/>
      <c r="CI195" s="8"/>
      <c r="CJ195" s="8"/>
      <c r="CK195" s="8"/>
      <c r="CL195" s="8"/>
      <c r="CM195" s="8"/>
      <c r="CN195" s="8"/>
      <c r="CO195" s="8"/>
      <c r="CP195" s="8"/>
      <c r="CQ195" s="9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9"/>
      <c r="DG195" s="9"/>
      <c r="DH195" s="10"/>
      <c r="DI195" s="9"/>
      <c r="DJ195" s="9"/>
      <c r="DK195" s="3"/>
      <c r="DL195" s="3"/>
      <c r="DM195" s="3"/>
    </row>
    <row r="196" ht="11.25" customHeight="1">
      <c r="A196" s="3"/>
      <c r="B196" s="2"/>
      <c r="C196" s="3"/>
      <c r="D196" s="3"/>
      <c r="E196" s="3"/>
      <c r="F196" s="4"/>
      <c r="G196" s="4"/>
      <c r="H196" s="4"/>
      <c r="I196" s="5"/>
      <c r="J196" s="4"/>
      <c r="K196" s="4"/>
      <c r="L196" s="6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3"/>
      <c r="AL196" s="3"/>
      <c r="AM196" s="3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8"/>
      <c r="BU196" s="8"/>
      <c r="BV196" s="8"/>
      <c r="BW196" s="8"/>
      <c r="BX196" s="3"/>
      <c r="BY196" s="3"/>
      <c r="BZ196" s="3"/>
      <c r="CA196" s="8"/>
      <c r="CB196" s="8"/>
      <c r="CC196" s="8"/>
      <c r="CD196" s="8"/>
      <c r="CE196" s="8"/>
      <c r="CF196" s="8"/>
      <c r="CG196" s="9"/>
      <c r="CH196" s="8"/>
      <c r="CI196" s="8"/>
      <c r="CJ196" s="8"/>
      <c r="CK196" s="8"/>
      <c r="CL196" s="8"/>
      <c r="CM196" s="8"/>
      <c r="CN196" s="8"/>
      <c r="CO196" s="8"/>
      <c r="CP196" s="8"/>
      <c r="CQ196" s="9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9"/>
      <c r="DG196" s="9"/>
      <c r="DH196" s="10"/>
      <c r="DI196" s="9"/>
      <c r="DJ196" s="9"/>
      <c r="DK196" s="3"/>
      <c r="DL196" s="3"/>
      <c r="DM196" s="3"/>
    </row>
    <row r="197" ht="11.25" customHeight="1">
      <c r="A197" s="3"/>
      <c r="B197" s="2"/>
      <c r="C197" s="3"/>
      <c r="D197" s="3"/>
      <c r="E197" s="3"/>
      <c r="F197" s="4"/>
      <c r="G197" s="4"/>
      <c r="H197" s="4"/>
      <c r="I197" s="5"/>
      <c r="J197" s="4"/>
      <c r="K197" s="4"/>
      <c r="L197" s="6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3"/>
      <c r="AL197" s="3"/>
      <c r="AM197" s="3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8"/>
      <c r="BU197" s="8"/>
      <c r="BV197" s="8"/>
      <c r="BW197" s="8"/>
      <c r="BX197" s="3"/>
      <c r="BY197" s="3"/>
      <c r="BZ197" s="3"/>
      <c r="CA197" s="8"/>
      <c r="CB197" s="8"/>
      <c r="CC197" s="8"/>
      <c r="CD197" s="8"/>
      <c r="CE197" s="8"/>
      <c r="CF197" s="8"/>
      <c r="CG197" s="9"/>
      <c r="CH197" s="8"/>
      <c r="CI197" s="8"/>
      <c r="CJ197" s="8"/>
      <c r="CK197" s="8"/>
      <c r="CL197" s="8"/>
      <c r="CM197" s="8"/>
      <c r="CN197" s="8"/>
      <c r="CO197" s="8"/>
      <c r="CP197" s="8"/>
      <c r="CQ197" s="9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9"/>
      <c r="DG197" s="9"/>
      <c r="DH197" s="10"/>
      <c r="DI197" s="9"/>
      <c r="DJ197" s="9"/>
      <c r="DK197" s="3"/>
      <c r="DL197" s="3"/>
      <c r="DM197" s="3"/>
    </row>
    <row r="198" ht="11.25" customHeight="1">
      <c r="A198" s="3"/>
      <c r="B198" s="2"/>
      <c r="C198" s="3"/>
      <c r="D198" s="3"/>
      <c r="E198" s="3"/>
      <c r="F198" s="4"/>
      <c r="G198" s="4"/>
      <c r="H198" s="4"/>
      <c r="I198" s="5"/>
      <c r="J198" s="4"/>
      <c r="K198" s="4"/>
      <c r="L198" s="6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3"/>
      <c r="AL198" s="3"/>
      <c r="AM198" s="3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8"/>
      <c r="BU198" s="8"/>
      <c r="BV198" s="8"/>
      <c r="BW198" s="8"/>
      <c r="BX198" s="3"/>
      <c r="BY198" s="3"/>
      <c r="BZ198" s="3"/>
      <c r="CA198" s="8"/>
      <c r="CB198" s="8"/>
      <c r="CC198" s="8"/>
      <c r="CD198" s="8"/>
      <c r="CE198" s="8"/>
      <c r="CF198" s="8"/>
      <c r="CG198" s="9"/>
      <c r="CH198" s="8"/>
      <c r="CI198" s="8"/>
      <c r="CJ198" s="8"/>
      <c r="CK198" s="8"/>
      <c r="CL198" s="8"/>
      <c r="CM198" s="8"/>
      <c r="CN198" s="8"/>
      <c r="CO198" s="8"/>
      <c r="CP198" s="8"/>
      <c r="CQ198" s="9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9"/>
      <c r="DG198" s="9"/>
      <c r="DH198" s="10"/>
      <c r="DI198" s="9"/>
      <c r="DJ198" s="9"/>
      <c r="DK198" s="3"/>
      <c r="DL198" s="3"/>
      <c r="DM198" s="3"/>
    </row>
    <row r="199" ht="11.25" customHeight="1">
      <c r="A199" s="3"/>
      <c r="B199" s="2"/>
      <c r="C199" s="3"/>
      <c r="D199" s="3"/>
      <c r="E199" s="3"/>
      <c r="F199" s="4"/>
      <c r="G199" s="4"/>
      <c r="H199" s="4"/>
      <c r="I199" s="5"/>
      <c r="J199" s="4"/>
      <c r="K199" s="4"/>
      <c r="L199" s="6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3"/>
      <c r="AL199" s="3"/>
      <c r="AM199" s="3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8"/>
      <c r="BU199" s="8"/>
      <c r="BV199" s="8"/>
      <c r="BW199" s="8"/>
      <c r="BX199" s="3"/>
      <c r="BY199" s="3"/>
      <c r="BZ199" s="3"/>
      <c r="CA199" s="8"/>
      <c r="CB199" s="8"/>
      <c r="CC199" s="8"/>
      <c r="CD199" s="8"/>
      <c r="CE199" s="8"/>
      <c r="CF199" s="8"/>
      <c r="CG199" s="9"/>
      <c r="CH199" s="8"/>
      <c r="CI199" s="8"/>
      <c r="CJ199" s="8"/>
      <c r="CK199" s="8"/>
      <c r="CL199" s="8"/>
      <c r="CM199" s="8"/>
      <c r="CN199" s="8"/>
      <c r="CO199" s="8"/>
      <c r="CP199" s="8"/>
      <c r="CQ199" s="9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9"/>
      <c r="DG199" s="9"/>
      <c r="DH199" s="10"/>
      <c r="DI199" s="9"/>
      <c r="DJ199" s="9"/>
      <c r="DK199" s="3"/>
      <c r="DL199" s="3"/>
      <c r="DM199" s="3"/>
    </row>
    <row r="200" ht="11.25" customHeight="1">
      <c r="A200" s="3"/>
      <c r="B200" s="2"/>
      <c r="C200" s="3"/>
      <c r="D200" s="3"/>
      <c r="E200" s="3"/>
      <c r="F200" s="4"/>
      <c r="G200" s="4"/>
      <c r="H200" s="4"/>
      <c r="I200" s="5"/>
      <c r="J200" s="4"/>
      <c r="K200" s="4"/>
      <c r="L200" s="6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3"/>
      <c r="AL200" s="3"/>
      <c r="AM200" s="3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8"/>
      <c r="BU200" s="8"/>
      <c r="BV200" s="8"/>
      <c r="BW200" s="8"/>
      <c r="BX200" s="3"/>
      <c r="BY200" s="3"/>
      <c r="BZ200" s="3"/>
      <c r="CA200" s="8"/>
      <c r="CB200" s="8"/>
      <c r="CC200" s="8"/>
      <c r="CD200" s="8"/>
      <c r="CE200" s="8"/>
      <c r="CF200" s="8"/>
      <c r="CG200" s="9"/>
      <c r="CH200" s="8"/>
      <c r="CI200" s="8"/>
      <c r="CJ200" s="8"/>
      <c r="CK200" s="8"/>
      <c r="CL200" s="8"/>
      <c r="CM200" s="8"/>
      <c r="CN200" s="8"/>
      <c r="CO200" s="8"/>
      <c r="CP200" s="8"/>
      <c r="CQ200" s="9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9"/>
      <c r="DG200" s="9"/>
      <c r="DH200" s="10"/>
      <c r="DI200" s="9"/>
      <c r="DJ200" s="9"/>
      <c r="DK200" s="3"/>
      <c r="DL200" s="3"/>
      <c r="DM200" s="3"/>
    </row>
    <row r="201" ht="11.25" customHeight="1">
      <c r="A201" s="3"/>
      <c r="B201" s="2"/>
      <c r="C201" s="3"/>
      <c r="D201" s="3"/>
      <c r="E201" s="3"/>
      <c r="F201" s="4"/>
      <c r="G201" s="4"/>
      <c r="H201" s="4"/>
      <c r="I201" s="5"/>
      <c r="J201" s="4"/>
      <c r="K201" s="4"/>
      <c r="L201" s="6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3"/>
      <c r="AL201" s="3"/>
      <c r="AM201" s="3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8"/>
      <c r="BU201" s="8"/>
      <c r="BV201" s="8"/>
      <c r="BW201" s="8"/>
      <c r="BX201" s="3"/>
      <c r="BY201" s="3"/>
      <c r="BZ201" s="3"/>
      <c r="CA201" s="8"/>
      <c r="CB201" s="8"/>
      <c r="CC201" s="8"/>
      <c r="CD201" s="8"/>
      <c r="CE201" s="8"/>
      <c r="CF201" s="8"/>
      <c r="CG201" s="9"/>
      <c r="CH201" s="8"/>
      <c r="CI201" s="8"/>
      <c r="CJ201" s="8"/>
      <c r="CK201" s="8"/>
      <c r="CL201" s="8"/>
      <c r="CM201" s="8"/>
      <c r="CN201" s="8"/>
      <c r="CO201" s="8"/>
      <c r="CP201" s="8"/>
      <c r="CQ201" s="9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9"/>
      <c r="DG201" s="9"/>
      <c r="DH201" s="10"/>
      <c r="DI201" s="9"/>
      <c r="DJ201" s="9"/>
      <c r="DK201" s="3"/>
      <c r="DL201" s="3"/>
      <c r="DM201" s="3"/>
    </row>
    <row r="202" ht="11.25" customHeight="1">
      <c r="A202" s="3"/>
      <c r="B202" s="2"/>
      <c r="C202" s="3"/>
      <c r="D202" s="3"/>
      <c r="E202" s="3"/>
      <c r="F202" s="4"/>
      <c r="G202" s="4"/>
      <c r="H202" s="4"/>
      <c r="I202" s="5"/>
      <c r="J202" s="4"/>
      <c r="K202" s="4"/>
      <c r="L202" s="6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3"/>
      <c r="AL202" s="3"/>
      <c r="AM202" s="3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8"/>
      <c r="BU202" s="8"/>
      <c r="BV202" s="8"/>
      <c r="BW202" s="8"/>
      <c r="BX202" s="3"/>
      <c r="BY202" s="3"/>
      <c r="BZ202" s="3"/>
      <c r="CA202" s="8"/>
      <c r="CB202" s="8"/>
      <c r="CC202" s="8"/>
      <c r="CD202" s="8"/>
      <c r="CE202" s="8"/>
      <c r="CF202" s="8"/>
      <c r="CG202" s="9"/>
      <c r="CH202" s="8"/>
      <c r="CI202" s="8"/>
      <c r="CJ202" s="8"/>
      <c r="CK202" s="8"/>
      <c r="CL202" s="8"/>
      <c r="CM202" s="8"/>
      <c r="CN202" s="8"/>
      <c r="CO202" s="8"/>
      <c r="CP202" s="8"/>
      <c r="CQ202" s="9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9"/>
      <c r="DG202" s="9"/>
      <c r="DH202" s="10"/>
      <c r="DI202" s="9"/>
      <c r="DJ202" s="9"/>
      <c r="DK202" s="3"/>
      <c r="DL202" s="3"/>
      <c r="DM202" s="3"/>
    </row>
    <row r="203" ht="11.25" customHeight="1">
      <c r="A203" s="3"/>
      <c r="B203" s="2"/>
      <c r="C203" s="3"/>
      <c r="D203" s="3"/>
      <c r="E203" s="3"/>
      <c r="F203" s="4"/>
      <c r="G203" s="4"/>
      <c r="H203" s="4"/>
      <c r="I203" s="5"/>
      <c r="J203" s="4"/>
      <c r="K203" s="4"/>
      <c r="L203" s="6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3"/>
      <c r="AL203" s="3"/>
      <c r="AM203" s="3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8"/>
      <c r="BU203" s="8"/>
      <c r="BV203" s="8"/>
      <c r="BW203" s="8"/>
      <c r="BX203" s="3"/>
      <c r="BY203" s="3"/>
      <c r="BZ203" s="3"/>
      <c r="CA203" s="8"/>
      <c r="CB203" s="8"/>
      <c r="CC203" s="8"/>
      <c r="CD203" s="8"/>
      <c r="CE203" s="8"/>
      <c r="CF203" s="8"/>
      <c r="CG203" s="9"/>
      <c r="CH203" s="8"/>
      <c r="CI203" s="8"/>
      <c r="CJ203" s="8"/>
      <c r="CK203" s="8"/>
      <c r="CL203" s="8"/>
      <c r="CM203" s="8"/>
      <c r="CN203" s="8"/>
      <c r="CO203" s="8"/>
      <c r="CP203" s="8"/>
      <c r="CQ203" s="9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9"/>
      <c r="DG203" s="9"/>
      <c r="DH203" s="10"/>
      <c r="DI203" s="9"/>
      <c r="DJ203" s="9"/>
      <c r="DK203" s="3"/>
      <c r="DL203" s="3"/>
      <c r="DM203" s="3"/>
    </row>
    <row r="204" ht="11.25" customHeight="1">
      <c r="A204" s="3"/>
      <c r="B204" s="2"/>
      <c r="C204" s="3"/>
      <c r="D204" s="3"/>
      <c r="E204" s="3"/>
      <c r="F204" s="4"/>
      <c r="G204" s="4"/>
      <c r="H204" s="4"/>
      <c r="I204" s="5"/>
      <c r="J204" s="4"/>
      <c r="K204" s="4"/>
      <c r="L204" s="6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3"/>
      <c r="AL204" s="3"/>
      <c r="AM204" s="3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8"/>
      <c r="BU204" s="8"/>
      <c r="BV204" s="8"/>
      <c r="BW204" s="8"/>
      <c r="BX204" s="3"/>
      <c r="BY204" s="3"/>
      <c r="BZ204" s="3"/>
      <c r="CA204" s="8"/>
      <c r="CB204" s="8"/>
      <c r="CC204" s="8"/>
      <c r="CD204" s="8"/>
      <c r="CE204" s="8"/>
      <c r="CF204" s="8"/>
      <c r="CG204" s="9"/>
      <c r="CH204" s="8"/>
      <c r="CI204" s="8"/>
      <c r="CJ204" s="8"/>
      <c r="CK204" s="8"/>
      <c r="CL204" s="8"/>
      <c r="CM204" s="8"/>
      <c r="CN204" s="8"/>
      <c r="CO204" s="8"/>
      <c r="CP204" s="8"/>
      <c r="CQ204" s="9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9"/>
      <c r="DG204" s="9"/>
      <c r="DH204" s="10"/>
      <c r="DI204" s="9"/>
      <c r="DJ204" s="9"/>
      <c r="DK204" s="3"/>
      <c r="DL204" s="3"/>
      <c r="DM204" s="3"/>
    </row>
    <row r="205" ht="11.25" customHeight="1">
      <c r="A205" s="3"/>
      <c r="B205" s="2"/>
      <c r="C205" s="3"/>
      <c r="D205" s="3"/>
      <c r="E205" s="3"/>
      <c r="F205" s="4"/>
      <c r="G205" s="4"/>
      <c r="H205" s="4"/>
      <c r="I205" s="5"/>
      <c r="J205" s="4"/>
      <c r="K205" s="4"/>
      <c r="L205" s="6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3"/>
      <c r="AL205" s="3"/>
      <c r="AM205" s="3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8"/>
      <c r="BU205" s="8"/>
      <c r="BV205" s="8"/>
      <c r="BW205" s="8"/>
      <c r="BX205" s="3"/>
      <c r="BY205" s="3"/>
      <c r="BZ205" s="3"/>
      <c r="CA205" s="8"/>
      <c r="CB205" s="8"/>
      <c r="CC205" s="8"/>
      <c r="CD205" s="8"/>
      <c r="CE205" s="8"/>
      <c r="CF205" s="8"/>
      <c r="CG205" s="9"/>
      <c r="CH205" s="8"/>
      <c r="CI205" s="8"/>
      <c r="CJ205" s="8"/>
      <c r="CK205" s="8"/>
      <c r="CL205" s="8"/>
      <c r="CM205" s="8"/>
      <c r="CN205" s="8"/>
      <c r="CO205" s="8"/>
      <c r="CP205" s="8"/>
      <c r="CQ205" s="9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9"/>
      <c r="DG205" s="9"/>
      <c r="DH205" s="10"/>
      <c r="DI205" s="9"/>
      <c r="DJ205" s="9"/>
      <c r="DK205" s="3"/>
      <c r="DL205" s="3"/>
      <c r="DM205" s="3"/>
    </row>
    <row r="206" ht="11.25" customHeight="1">
      <c r="A206" s="3"/>
      <c r="B206" s="2"/>
      <c r="C206" s="3"/>
      <c r="D206" s="3"/>
      <c r="E206" s="3"/>
      <c r="F206" s="4"/>
      <c r="G206" s="4"/>
      <c r="H206" s="4"/>
      <c r="I206" s="5"/>
      <c r="J206" s="4"/>
      <c r="K206" s="4"/>
      <c r="L206" s="6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3"/>
      <c r="AL206" s="3"/>
      <c r="AM206" s="3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8"/>
      <c r="BU206" s="8"/>
      <c r="BV206" s="8"/>
      <c r="BW206" s="8"/>
      <c r="BX206" s="3"/>
      <c r="BY206" s="3"/>
      <c r="BZ206" s="3"/>
      <c r="CA206" s="8"/>
      <c r="CB206" s="8"/>
      <c r="CC206" s="8"/>
      <c r="CD206" s="8"/>
      <c r="CE206" s="8"/>
      <c r="CF206" s="8"/>
      <c r="CG206" s="9"/>
      <c r="CH206" s="8"/>
      <c r="CI206" s="8"/>
      <c r="CJ206" s="8"/>
      <c r="CK206" s="8"/>
      <c r="CL206" s="8"/>
      <c r="CM206" s="8"/>
      <c r="CN206" s="8"/>
      <c r="CO206" s="8"/>
      <c r="CP206" s="8"/>
      <c r="CQ206" s="9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9"/>
      <c r="DG206" s="9"/>
      <c r="DH206" s="10"/>
      <c r="DI206" s="9"/>
      <c r="DJ206" s="9"/>
      <c r="DK206" s="3"/>
      <c r="DL206" s="3"/>
      <c r="DM206" s="3"/>
    </row>
    <row r="207" ht="11.25" customHeight="1">
      <c r="A207" s="3"/>
      <c r="B207" s="2"/>
      <c r="C207" s="3"/>
      <c r="D207" s="3"/>
      <c r="E207" s="3"/>
      <c r="F207" s="4"/>
      <c r="G207" s="4"/>
      <c r="H207" s="4"/>
      <c r="I207" s="5"/>
      <c r="J207" s="4"/>
      <c r="K207" s="4"/>
      <c r="L207" s="6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3"/>
      <c r="AL207" s="3"/>
      <c r="AM207" s="3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8"/>
      <c r="BU207" s="8"/>
      <c r="BV207" s="8"/>
      <c r="BW207" s="8"/>
      <c r="BX207" s="3"/>
      <c r="BY207" s="3"/>
      <c r="BZ207" s="3"/>
      <c r="CA207" s="8"/>
      <c r="CB207" s="8"/>
      <c r="CC207" s="8"/>
      <c r="CD207" s="8"/>
      <c r="CE207" s="8"/>
      <c r="CF207" s="8"/>
      <c r="CG207" s="9"/>
      <c r="CH207" s="8"/>
      <c r="CI207" s="8"/>
      <c r="CJ207" s="8"/>
      <c r="CK207" s="8"/>
      <c r="CL207" s="8"/>
      <c r="CM207" s="8"/>
      <c r="CN207" s="8"/>
      <c r="CO207" s="8"/>
      <c r="CP207" s="8"/>
      <c r="CQ207" s="9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9"/>
      <c r="DG207" s="9"/>
      <c r="DH207" s="10"/>
      <c r="DI207" s="9"/>
      <c r="DJ207" s="9"/>
      <c r="DK207" s="3"/>
      <c r="DL207" s="3"/>
      <c r="DM207" s="3"/>
    </row>
    <row r="208" ht="11.25" customHeight="1">
      <c r="A208" s="3"/>
      <c r="B208" s="2"/>
      <c r="C208" s="3"/>
      <c r="D208" s="3"/>
      <c r="E208" s="3"/>
      <c r="F208" s="4"/>
      <c r="G208" s="4"/>
      <c r="H208" s="4"/>
      <c r="I208" s="5"/>
      <c r="J208" s="4"/>
      <c r="K208" s="4"/>
      <c r="L208" s="6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3"/>
      <c r="AL208" s="3"/>
      <c r="AM208" s="3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8"/>
      <c r="BU208" s="8"/>
      <c r="BV208" s="8"/>
      <c r="BW208" s="8"/>
      <c r="BX208" s="3"/>
      <c r="BY208" s="3"/>
      <c r="BZ208" s="3"/>
      <c r="CA208" s="8"/>
      <c r="CB208" s="8"/>
      <c r="CC208" s="8"/>
      <c r="CD208" s="8"/>
      <c r="CE208" s="8"/>
      <c r="CF208" s="8"/>
      <c r="CG208" s="9"/>
      <c r="CH208" s="8"/>
      <c r="CI208" s="8"/>
      <c r="CJ208" s="8"/>
      <c r="CK208" s="8"/>
      <c r="CL208" s="8"/>
      <c r="CM208" s="8"/>
      <c r="CN208" s="8"/>
      <c r="CO208" s="8"/>
      <c r="CP208" s="8"/>
      <c r="CQ208" s="9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9"/>
      <c r="DG208" s="9"/>
      <c r="DH208" s="10"/>
      <c r="DI208" s="9"/>
      <c r="DJ208" s="9"/>
      <c r="DK208" s="3"/>
      <c r="DL208" s="3"/>
      <c r="DM208" s="3"/>
    </row>
    <row r="209" ht="11.25" customHeight="1">
      <c r="A209" s="3"/>
      <c r="B209" s="2"/>
      <c r="C209" s="3"/>
      <c r="D209" s="3"/>
      <c r="E209" s="3"/>
      <c r="F209" s="4"/>
      <c r="G209" s="4"/>
      <c r="H209" s="4"/>
      <c r="I209" s="5"/>
      <c r="J209" s="4"/>
      <c r="K209" s="4"/>
      <c r="L209" s="6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3"/>
      <c r="AL209" s="3"/>
      <c r="AM209" s="3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8"/>
      <c r="BU209" s="8"/>
      <c r="BV209" s="8"/>
      <c r="BW209" s="8"/>
      <c r="BX209" s="3"/>
      <c r="BY209" s="3"/>
      <c r="BZ209" s="3"/>
      <c r="CA209" s="8"/>
      <c r="CB209" s="8"/>
      <c r="CC209" s="8"/>
      <c r="CD209" s="8"/>
      <c r="CE209" s="8"/>
      <c r="CF209" s="8"/>
      <c r="CG209" s="9"/>
      <c r="CH209" s="8"/>
      <c r="CI209" s="8"/>
      <c r="CJ209" s="8"/>
      <c r="CK209" s="8"/>
      <c r="CL209" s="8"/>
      <c r="CM209" s="8"/>
      <c r="CN209" s="8"/>
      <c r="CO209" s="8"/>
      <c r="CP209" s="8"/>
      <c r="CQ209" s="9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9"/>
      <c r="DG209" s="9"/>
      <c r="DH209" s="10"/>
      <c r="DI209" s="9"/>
      <c r="DJ209" s="9"/>
      <c r="DK209" s="3"/>
      <c r="DL209" s="3"/>
      <c r="DM209" s="3"/>
    </row>
    <row r="210" ht="11.25" customHeight="1">
      <c r="A210" s="3"/>
      <c r="B210" s="2"/>
      <c r="C210" s="3"/>
      <c r="D210" s="3"/>
      <c r="E210" s="3"/>
      <c r="F210" s="4"/>
      <c r="G210" s="4"/>
      <c r="H210" s="4"/>
      <c r="I210" s="5"/>
      <c r="J210" s="4"/>
      <c r="K210" s="4"/>
      <c r="L210" s="6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3"/>
      <c r="AL210" s="3"/>
      <c r="AM210" s="3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8"/>
      <c r="BU210" s="8"/>
      <c r="BV210" s="8"/>
      <c r="BW210" s="8"/>
      <c r="BX210" s="3"/>
      <c r="BY210" s="3"/>
      <c r="BZ210" s="3"/>
      <c r="CA210" s="8"/>
      <c r="CB210" s="8"/>
      <c r="CC210" s="8"/>
      <c r="CD210" s="8"/>
      <c r="CE210" s="8"/>
      <c r="CF210" s="8"/>
      <c r="CG210" s="9"/>
      <c r="CH210" s="8"/>
      <c r="CI210" s="8"/>
      <c r="CJ210" s="8"/>
      <c r="CK210" s="8"/>
      <c r="CL210" s="8"/>
      <c r="CM210" s="8"/>
      <c r="CN210" s="8"/>
      <c r="CO210" s="8"/>
      <c r="CP210" s="8"/>
      <c r="CQ210" s="9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9"/>
      <c r="DG210" s="9"/>
      <c r="DH210" s="10"/>
      <c r="DI210" s="9"/>
      <c r="DJ210" s="9"/>
      <c r="DK210" s="3"/>
      <c r="DL210" s="3"/>
      <c r="DM210" s="3"/>
    </row>
    <row r="211" ht="11.25" customHeight="1">
      <c r="A211" s="3"/>
      <c r="B211" s="2"/>
      <c r="C211" s="3"/>
      <c r="D211" s="3"/>
      <c r="E211" s="3"/>
      <c r="F211" s="4"/>
      <c r="G211" s="4"/>
      <c r="H211" s="4"/>
      <c r="I211" s="5"/>
      <c r="J211" s="4"/>
      <c r="K211" s="4"/>
      <c r="L211" s="6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3"/>
      <c r="AL211" s="3"/>
      <c r="AM211" s="3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8"/>
      <c r="BU211" s="8"/>
      <c r="BV211" s="8"/>
      <c r="BW211" s="8"/>
      <c r="BX211" s="3"/>
      <c r="BY211" s="3"/>
      <c r="BZ211" s="3"/>
      <c r="CA211" s="8"/>
      <c r="CB211" s="8"/>
      <c r="CC211" s="8"/>
      <c r="CD211" s="8"/>
      <c r="CE211" s="8"/>
      <c r="CF211" s="8"/>
      <c r="CG211" s="9"/>
      <c r="CH211" s="8"/>
      <c r="CI211" s="8"/>
      <c r="CJ211" s="8"/>
      <c r="CK211" s="8"/>
      <c r="CL211" s="8"/>
      <c r="CM211" s="8"/>
      <c r="CN211" s="8"/>
      <c r="CO211" s="8"/>
      <c r="CP211" s="8"/>
      <c r="CQ211" s="9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9"/>
      <c r="DG211" s="9"/>
      <c r="DH211" s="10"/>
      <c r="DI211" s="9"/>
      <c r="DJ211" s="9"/>
      <c r="DK211" s="3"/>
      <c r="DL211" s="3"/>
      <c r="DM211" s="3"/>
    </row>
    <row r="212" ht="11.25" customHeight="1">
      <c r="A212" s="3"/>
      <c r="B212" s="2"/>
      <c r="C212" s="3"/>
      <c r="D212" s="3"/>
      <c r="E212" s="3"/>
      <c r="F212" s="4"/>
      <c r="G212" s="4"/>
      <c r="H212" s="4"/>
      <c r="I212" s="5"/>
      <c r="J212" s="4"/>
      <c r="K212" s="4"/>
      <c r="L212" s="6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3"/>
      <c r="AL212" s="3"/>
      <c r="AM212" s="3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8"/>
      <c r="BU212" s="8"/>
      <c r="BV212" s="8"/>
      <c r="BW212" s="8"/>
      <c r="BX212" s="3"/>
      <c r="BY212" s="3"/>
      <c r="BZ212" s="3"/>
      <c r="CA212" s="8"/>
      <c r="CB212" s="8"/>
      <c r="CC212" s="8"/>
      <c r="CD212" s="8"/>
      <c r="CE212" s="8"/>
      <c r="CF212" s="8"/>
      <c r="CG212" s="9"/>
      <c r="CH212" s="8"/>
      <c r="CI212" s="8"/>
      <c r="CJ212" s="8"/>
      <c r="CK212" s="8"/>
      <c r="CL212" s="8"/>
      <c r="CM212" s="8"/>
      <c r="CN212" s="8"/>
      <c r="CO212" s="8"/>
      <c r="CP212" s="8"/>
      <c r="CQ212" s="9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9"/>
      <c r="DG212" s="9"/>
      <c r="DH212" s="10"/>
      <c r="DI212" s="9"/>
      <c r="DJ212" s="9"/>
      <c r="DK212" s="3"/>
      <c r="DL212" s="3"/>
      <c r="DM212" s="3"/>
    </row>
    <row r="213" ht="11.25" customHeight="1">
      <c r="A213" s="3"/>
      <c r="B213" s="2"/>
      <c r="C213" s="3"/>
      <c r="D213" s="3"/>
      <c r="E213" s="3"/>
      <c r="F213" s="4"/>
      <c r="G213" s="4"/>
      <c r="H213" s="4"/>
      <c r="I213" s="5"/>
      <c r="J213" s="4"/>
      <c r="K213" s="4"/>
      <c r="L213" s="6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3"/>
      <c r="AL213" s="3"/>
      <c r="AM213" s="3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8"/>
      <c r="BU213" s="8"/>
      <c r="BV213" s="8"/>
      <c r="BW213" s="8"/>
      <c r="BX213" s="3"/>
      <c r="BY213" s="3"/>
      <c r="BZ213" s="3"/>
      <c r="CA213" s="8"/>
      <c r="CB213" s="8"/>
      <c r="CC213" s="8"/>
      <c r="CD213" s="8"/>
      <c r="CE213" s="8"/>
      <c r="CF213" s="8"/>
      <c r="CG213" s="9"/>
      <c r="CH213" s="8"/>
      <c r="CI213" s="8"/>
      <c r="CJ213" s="8"/>
      <c r="CK213" s="8"/>
      <c r="CL213" s="8"/>
      <c r="CM213" s="8"/>
      <c r="CN213" s="8"/>
      <c r="CO213" s="8"/>
      <c r="CP213" s="8"/>
      <c r="CQ213" s="9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9"/>
      <c r="DG213" s="9"/>
      <c r="DH213" s="10"/>
      <c r="DI213" s="9"/>
      <c r="DJ213" s="9"/>
      <c r="DK213" s="3"/>
      <c r="DL213" s="3"/>
      <c r="DM213" s="3"/>
    </row>
    <row r="214" ht="11.25" customHeight="1">
      <c r="A214" s="3"/>
      <c r="B214" s="2"/>
      <c r="C214" s="3"/>
      <c r="D214" s="3"/>
      <c r="E214" s="3"/>
      <c r="F214" s="4"/>
      <c r="G214" s="4"/>
      <c r="H214" s="4"/>
      <c r="I214" s="5"/>
      <c r="J214" s="4"/>
      <c r="K214" s="4"/>
      <c r="L214" s="6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3"/>
      <c r="AL214" s="3"/>
      <c r="AM214" s="3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8"/>
      <c r="BU214" s="8"/>
      <c r="BV214" s="8"/>
      <c r="BW214" s="8"/>
      <c r="BX214" s="3"/>
      <c r="BY214" s="3"/>
      <c r="BZ214" s="3"/>
      <c r="CA214" s="8"/>
      <c r="CB214" s="8"/>
      <c r="CC214" s="8"/>
      <c r="CD214" s="8"/>
      <c r="CE214" s="8"/>
      <c r="CF214" s="8"/>
      <c r="CG214" s="9"/>
      <c r="CH214" s="8"/>
      <c r="CI214" s="8"/>
      <c r="CJ214" s="8"/>
      <c r="CK214" s="8"/>
      <c r="CL214" s="8"/>
      <c r="CM214" s="8"/>
      <c r="CN214" s="8"/>
      <c r="CO214" s="8"/>
      <c r="CP214" s="8"/>
      <c r="CQ214" s="9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9"/>
      <c r="DG214" s="9"/>
      <c r="DH214" s="10"/>
      <c r="DI214" s="9"/>
      <c r="DJ214" s="9"/>
      <c r="DK214" s="3"/>
      <c r="DL214" s="3"/>
      <c r="DM214" s="3"/>
    </row>
    <row r="215" ht="11.25" customHeight="1">
      <c r="A215" s="3"/>
      <c r="B215" s="2"/>
      <c r="C215" s="3"/>
      <c r="D215" s="3"/>
      <c r="E215" s="3"/>
      <c r="F215" s="4"/>
      <c r="G215" s="4"/>
      <c r="H215" s="4"/>
      <c r="I215" s="5"/>
      <c r="J215" s="4"/>
      <c r="K215" s="4"/>
      <c r="L215" s="6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3"/>
      <c r="AL215" s="3"/>
      <c r="AM215" s="3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8"/>
      <c r="BU215" s="8"/>
      <c r="BV215" s="8"/>
      <c r="BW215" s="8"/>
      <c r="BX215" s="3"/>
      <c r="BY215" s="3"/>
      <c r="BZ215" s="3"/>
      <c r="CA215" s="8"/>
      <c r="CB215" s="8"/>
      <c r="CC215" s="8"/>
      <c r="CD215" s="8"/>
      <c r="CE215" s="8"/>
      <c r="CF215" s="8"/>
      <c r="CG215" s="9"/>
      <c r="CH215" s="8"/>
      <c r="CI215" s="8"/>
      <c r="CJ215" s="8"/>
      <c r="CK215" s="8"/>
      <c r="CL215" s="8"/>
      <c r="CM215" s="8"/>
      <c r="CN215" s="8"/>
      <c r="CO215" s="8"/>
      <c r="CP215" s="8"/>
      <c r="CQ215" s="9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9"/>
      <c r="DG215" s="9"/>
      <c r="DH215" s="10"/>
      <c r="DI215" s="9"/>
      <c r="DJ215" s="9"/>
      <c r="DK215" s="3"/>
      <c r="DL215" s="3"/>
      <c r="DM215" s="3"/>
    </row>
    <row r="216" ht="11.25" customHeight="1">
      <c r="A216" s="3"/>
      <c r="B216" s="2"/>
      <c r="C216" s="3"/>
      <c r="D216" s="3"/>
      <c r="E216" s="3"/>
      <c r="F216" s="4"/>
      <c r="G216" s="4"/>
      <c r="H216" s="4"/>
      <c r="I216" s="5"/>
      <c r="J216" s="4"/>
      <c r="K216" s="4"/>
      <c r="L216" s="6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3"/>
      <c r="AL216" s="3"/>
      <c r="AM216" s="3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8"/>
      <c r="BU216" s="8"/>
      <c r="BV216" s="8"/>
      <c r="BW216" s="8"/>
      <c r="BX216" s="3"/>
      <c r="BY216" s="3"/>
      <c r="BZ216" s="3"/>
      <c r="CA216" s="8"/>
      <c r="CB216" s="8"/>
      <c r="CC216" s="8"/>
      <c r="CD216" s="8"/>
      <c r="CE216" s="8"/>
      <c r="CF216" s="8"/>
      <c r="CG216" s="9"/>
      <c r="CH216" s="8"/>
      <c r="CI216" s="8"/>
      <c r="CJ216" s="8"/>
      <c r="CK216" s="8"/>
      <c r="CL216" s="8"/>
      <c r="CM216" s="8"/>
      <c r="CN216" s="8"/>
      <c r="CO216" s="8"/>
      <c r="CP216" s="8"/>
      <c r="CQ216" s="9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9"/>
      <c r="DG216" s="9"/>
      <c r="DH216" s="10"/>
      <c r="DI216" s="9"/>
      <c r="DJ216" s="9"/>
      <c r="DK216" s="3"/>
      <c r="DL216" s="3"/>
      <c r="DM216" s="3"/>
    </row>
    <row r="217" ht="11.25" customHeight="1">
      <c r="A217" s="3"/>
      <c r="B217" s="2"/>
      <c r="C217" s="3"/>
      <c r="D217" s="3"/>
      <c r="E217" s="3"/>
      <c r="F217" s="4"/>
      <c r="G217" s="4"/>
      <c r="H217" s="4"/>
      <c r="I217" s="5"/>
      <c r="J217" s="4"/>
      <c r="K217" s="4"/>
      <c r="L217" s="6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3"/>
      <c r="AL217" s="3"/>
      <c r="AM217" s="3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8"/>
      <c r="BU217" s="8"/>
      <c r="BV217" s="8"/>
      <c r="BW217" s="8"/>
      <c r="BX217" s="3"/>
      <c r="BY217" s="3"/>
      <c r="BZ217" s="3"/>
      <c r="CA217" s="8"/>
      <c r="CB217" s="8"/>
      <c r="CC217" s="8"/>
      <c r="CD217" s="8"/>
      <c r="CE217" s="8"/>
      <c r="CF217" s="8"/>
      <c r="CG217" s="9"/>
      <c r="CH217" s="8"/>
      <c r="CI217" s="8"/>
      <c r="CJ217" s="8"/>
      <c r="CK217" s="8"/>
      <c r="CL217" s="8"/>
      <c r="CM217" s="8"/>
      <c r="CN217" s="8"/>
      <c r="CO217" s="8"/>
      <c r="CP217" s="8"/>
      <c r="CQ217" s="9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9"/>
      <c r="DG217" s="9"/>
      <c r="DH217" s="10"/>
      <c r="DI217" s="9"/>
      <c r="DJ217" s="9"/>
      <c r="DK217" s="3"/>
      <c r="DL217" s="3"/>
      <c r="DM217" s="3"/>
    </row>
    <row r="218" ht="11.25" customHeight="1">
      <c r="A218" s="3"/>
      <c r="B218" s="2"/>
      <c r="C218" s="3"/>
      <c r="D218" s="3"/>
      <c r="E218" s="3"/>
      <c r="F218" s="4"/>
      <c r="G218" s="4"/>
      <c r="H218" s="4"/>
      <c r="I218" s="5"/>
      <c r="J218" s="4"/>
      <c r="K218" s="4"/>
      <c r="L218" s="6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3"/>
      <c r="AL218" s="3"/>
      <c r="AM218" s="3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8"/>
      <c r="BU218" s="8"/>
      <c r="BV218" s="8"/>
      <c r="BW218" s="8"/>
      <c r="BX218" s="3"/>
      <c r="BY218" s="3"/>
      <c r="BZ218" s="3"/>
      <c r="CA218" s="8"/>
      <c r="CB218" s="8"/>
      <c r="CC218" s="8"/>
      <c r="CD218" s="8"/>
      <c r="CE218" s="8"/>
      <c r="CF218" s="8"/>
      <c r="CG218" s="9"/>
      <c r="CH218" s="8"/>
      <c r="CI218" s="8"/>
      <c r="CJ218" s="8"/>
      <c r="CK218" s="8"/>
      <c r="CL218" s="8"/>
      <c r="CM218" s="8"/>
      <c r="CN218" s="8"/>
      <c r="CO218" s="8"/>
      <c r="CP218" s="8"/>
      <c r="CQ218" s="9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9"/>
      <c r="DG218" s="9"/>
      <c r="DH218" s="10"/>
      <c r="DI218" s="9"/>
      <c r="DJ218" s="9"/>
      <c r="DK218" s="3"/>
      <c r="DL218" s="3"/>
      <c r="DM218" s="3"/>
    </row>
    <row r="219" ht="11.25" customHeight="1">
      <c r="A219" s="3"/>
      <c r="B219" s="2"/>
      <c r="C219" s="3"/>
      <c r="D219" s="3"/>
      <c r="E219" s="3"/>
      <c r="F219" s="4"/>
      <c r="G219" s="4"/>
      <c r="H219" s="4"/>
      <c r="I219" s="5"/>
      <c r="J219" s="4"/>
      <c r="K219" s="4"/>
      <c r="L219" s="6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3"/>
      <c r="AL219" s="3"/>
      <c r="AM219" s="3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8"/>
      <c r="BU219" s="8"/>
      <c r="BV219" s="8"/>
      <c r="BW219" s="8"/>
      <c r="BX219" s="3"/>
      <c r="BY219" s="3"/>
      <c r="BZ219" s="3"/>
      <c r="CA219" s="8"/>
      <c r="CB219" s="8"/>
      <c r="CC219" s="8"/>
      <c r="CD219" s="8"/>
      <c r="CE219" s="8"/>
      <c r="CF219" s="8"/>
      <c r="CG219" s="9"/>
      <c r="CH219" s="8"/>
      <c r="CI219" s="8"/>
      <c r="CJ219" s="8"/>
      <c r="CK219" s="8"/>
      <c r="CL219" s="8"/>
      <c r="CM219" s="8"/>
      <c r="CN219" s="8"/>
      <c r="CO219" s="8"/>
      <c r="CP219" s="8"/>
      <c r="CQ219" s="9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9"/>
      <c r="DG219" s="9"/>
      <c r="DH219" s="10"/>
      <c r="DI219" s="9"/>
      <c r="DJ219" s="9"/>
      <c r="DK219" s="3"/>
      <c r="DL219" s="3"/>
      <c r="DM219" s="3"/>
    </row>
    <row r="220" ht="11.25" customHeight="1">
      <c r="A220" s="3"/>
      <c r="B220" s="2"/>
      <c r="C220" s="3"/>
      <c r="D220" s="3"/>
      <c r="E220" s="3"/>
      <c r="F220" s="4"/>
      <c r="G220" s="4"/>
      <c r="H220" s="4"/>
      <c r="I220" s="5"/>
      <c r="J220" s="4"/>
      <c r="K220" s="4"/>
      <c r="L220" s="6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3"/>
      <c r="AL220" s="3"/>
      <c r="AM220" s="3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8"/>
      <c r="BU220" s="8"/>
      <c r="BV220" s="8"/>
      <c r="BW220" s="8"/>
      <c r="BX220" s="3"/>
      <c r="BY220" s="3"/>
      <c r="BZ220" s="3"/>
      <c r="CA220" s="8"/>
      <c r="CB220" s="8"/>
      <c r="CC220" s="8"/>
      <c r="CD220" s="8"/>
      <c r="CE220" s="8"/>
      <c r="CF220" s="8"/>
      <c r="CG220" s="9"/>
      <c r="CH220" s="8"/>
      <c r="CI220" s="8"/>
      <c r="CJ220" s="8"/>
      <c r="CK220" s="8"/>
      <c r="CL220" s="8"/>
      <c r="CM220" s="8"/>
      <c r="CN220" s="8"/>
      <c r="CO220" s="8"/>
      <c r="CP220" s="8"/>
      <c r="CQ220" s="9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9"/>
      <c r="DG220" s="9"/>
      <c r="DH220" s="10"/>
      <c r="DI220" s="9"/>
      <c r="DJ220" s="9"/>
      <c r="DK220" s="3"/>
      <c r="DL220" s="3"/>
      <c r="DM220" s="3"/>
    </row>
    <row r="221" ht="11.25" customHeight="1">
      <c r="A221" s="3"/>
      <c r="B221" s="2"/>
      <c r="C221" s="3"/>
      <c r="D221" s="3"/>
      <c r="E221" s="3"/>
      <c r="F221" s="4"/>
      <c r="G221" s="4"/>
      <c r="H221" s="4"/>
      <c r="I221" s="5"/>
      <c r="J221" s="4"/>
      <c r="K221" s="4"/>
      <c r="L221" s="6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3"/>
      <c r="AL221" s="3"/>
      <c r="AM221" s="3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8"/>
      <c r="BU221" s="8"/>
      <c r="BV221" s="8"/>
      <c r="BW221" s="8"/>
      <c r="BX221" s="3"/>
      <c r="BY221" s="3"/>
      <c r="BZ221" s="3"/>
      <c r="CA221" s="8"/>
      <c r="CB221" s="8"/>
      <c r="CC221" s="8"/>
      <c r="CD221" s="8"/>
      <c r="CE221" s="8"/>
      <c r="CF221" s="8"/>
      <c r="CG221" s="9"/>
      <c r="CH221" s="8"/>
      <c r="CI221" s="8"/>
      <c r="CJ221" s="8"/>
      <c r="CK221" s="8"/>
      <c r="CL221" s="8"/>
      <c r="CM221" s="8"/>
      <c r="CN221" s="8"/>
      <c r="CO221" s="8"/>
      <c r="CP221" s="8"/>
      <c r="CQ221" s="9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9"/>
      <c r="DG221" s="9"/>
      <c r="DH221" s="10"/>
      <c r="DI221" s="9"/>
      <c r="DJ221" s="9"/>
      <c r="DK221" s="3"/>
      <c r="DL221" s="3"/>
      <c r="DM221" s="3"/>
    </row>
    <row r="222" ht="11.25" customHeight="1">
      <c r="A222" s="3"/>
      <c r="B222" s="2"/>
      <c r="C222" s="3"/>
      <c r="D222" s="3"/>
      <c r="E222" s="3"/>
      <c r="F222" s="4"/>
      <c r="G222" s="4"/>
      <c r="H222" s="4"/>
      <c r="I222" s="5"/>
      <c r="J222" s="4"/>
      <c r="K222" s="4"/>
      <c r="L222" s="6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3"/>
      <c r="AL222" s="3"/>
      <c r="AM222" s="3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8"/>
      <c r="BU222" s="8"/>
      <c r="BV222" s="8"/>
      <c r="BW222" s="8"/>
      <c r="BX222" s="3"/>
      <c r="BY222" s="3"/>
      <c r="BZ222" s="3"/>
      <c r="CA222" s="8"/>
      <c r="CB222" s="8"/>
      <c r="CC222" s="8"/>
      <c r="CD222" s="8"/>
      <c r="CE222" s="8"/>
      <c r="CF222" s="8"/>
      <c r="CG222" s="9"/>
      <c r="CH222" s="8"/>
      <c r="CI222" s="8"/>
      <c r="CJ222" s="8"/>
      <c r="CK222" s="8"/>
      <c r="CL222" s="8"/>
      <c r="CM222" s="8"/>
      <c r="CN222" s="8"/>
      <c r="CO222" s="8"/>
      <c r="CP222" s="8"/>
      <c r="CQ222" s="9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9"/>
      <c r="DG222" s="9"/>
      <c r="DH222" s="10"/>
      <c r="DI222" s="9"/>
      <c r="DJ222" s="9"/>
      <c r="DK222" s="3"/>
      <c r="DL222" s="3"/>
      <c r="DM222" s="3"/>
    </row>
    <row r="223" ht="11.25" customHeight="1">
      <c r="A223" s="3"/>
      <c r="B223" s="2"/>
      <c r="C223" s="3"/>
      <c r="D223" s="3"/>
      <c r="E223" s="3"/>
      <c r="F223" s="4"/>
      <c r="G223" s="4"/>
      <c r="H223" s="4"/>
      <c r="I223" s="5"/>
      <c r="J223" s="4"/>
      <c r="K223" s="4"/>
      <c r="L223" s="6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3"/>
      <c r="AL223" s="3"/>
      <c r="AM223" s="3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8"/>
      <c r="BU223" s="8"/>
      <c r="BV223" s="8"/>
      <c r="BW223" s="8"/>
      <c r="BX223" s="3"/>
      <c r="BY223" s="3"/>
      <c r="BZ223" s="3"/>
      <c r="CA223" s="8"/>
      <c r="CB223" s="8"/>
      <c r="CC223" s="8"/>
      <c r="CD223" s="8"/>
      <c r="CE223" s="8"/>
      <c r="CF223" s="8"/>
      <c r="CG223" s="9"/>
      <c r="CH223" s="8"/>
      <c r="CI223" s="8"/>
      <c r="CJ223" s="8"/>
      <c r="CK223" s="8"/>
      <c r="CL223" s="8"/>
      <c r="CM223" s="8"/>
      <c r="CN223" s="8"/>
      <c r="CO223" s="8"/>
      <c r="CP223" s="8"/>
      <c r="CQ223" s="9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9"/>
      <c r="DG223" s="9"/>
      <c r="DH223" s="10"/>
      <c r="DI223" s="9"/>
      <c r="DJ223" s="9"/>
      <c r="DK223" s="3"/>
      <c r="DL223" s="3"/>
      <c r="DM223" s="3"/>
    </row>
    <row r="224" ht="11.25" customHeight="1">
      <c r="A224" s="3"/>
      <c r="B224" s="2"/>
      <c r="C224" s="3"/>
      <c r="D224" s="3"/>
      <c r="E224" s="3"/>
      <c r="F224" s="4"/>
      <c r="G224" s="4"/>
      <c r="H224" s="4"/>
      <c r="I224" s="5"/>
      <c r="J224" s="4"/>
      <c r="K224" s="4"/>
      <c r="L224" s="6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3"/>
      <c r="AL224" s="3"/>
      <c r="AM224" s="3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8"/>
      <c r="BU224" s="8"/>
      <c r="BV224" s="8"/>
      <c r="BW224" s="8"/>
      <c r="BX224" s="3"/>
      <c r="BY224" s="3"/>
      <c r="BZ224" s="3"/>
      <c r="CA224" s="8"/>
      <c r="CB224" s="8"/>
      <c r="CC224" s="8"/>
      <c r="CD224" s="8"/>
      <c r="CE224" s="8"/>
      <c r="CF224" s="8"/>
      <c r="CG224" s="9"/>
      <c r="CH224" s="8"/>
      <c r="CI224" s="8"/>
      <c r="CJ224" s="8"/>
      <c r="CK224" s="8"/>
      <c r="CL224" s="8"/>
      <c r="CM224" s="8"/>
      <c r="CN224" s="8"/>
      <c r="CO224" s="8"/>
      <c r="CP224" s="8"/>
      <c r="CQ224" s="9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9"/>
      <c r="DG224" s="9"/>
      <c r="DH224" s="10"/>
      <c r="DI224" s="9"/>
      <c r="DJ224" s="9"/>
      <c r="DK224" s="3"/>
      <c r="DL224" s="3"/>
      <c r="DM224" s="3"/>
    </row>
    <row r="225" ht="11.25" customHeight="1">
      <c r="A225" s="3"/>
      <c r="B225" s="2"/>
      <c r="C225" s="3"/>
      <c r="D225" s="3"/>
      <c r="E225" s="3"/>
      <c r="F225" s="4"/>
      <c r="G225" s="4"/>
      <c r="H225" s="4"/>
      <c r="I225" s="5"/>
      <c r="J225" s="4"/>
      <c r="K225" s="4"/>
      <c r="L225" s="6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3"/>
      <c r="AL225" s="3"/>
      <c r="AM225" s="3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8"/>
      <c r="BU225" s="8"/>
      <c r="BV225" s="8"/>
      <c r="BW225" s="8"/>
      <c r="BX225" s="3"/>
      <c r="BY225" s="3"/>
      <c r="BZ225" s="3"/>
      <c r="CA225" s="8"/>
      <c r="CB225" s="8"/>
      <c r="CC225" s="8"/>
      <c r="CD225" s="8"/>
      <c r="CE225" s="8"/>
      <c r="CF225" s="8"/>
      <c r="CG225" s="9"/>
      <c r="CH225" s="8"/>
      <c r="CI225" s="8"/>
      <c r="CJ225" s="8"/>
      <c r="CK225" s="8"/>
      <c r="CL225" s="8"/>
      <c r="CM225" s="8"/>
      <c r="CN225" s="8"/>
      <c r="CO225" s="8"/>
      <c r="CP225" s="8"/>
      <c r="CQ225" s="9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9"/>
      <c r="DG225" s="9"/>
      <c r="DH225" s="10"/>
      <c r="DI225" s="9"/>
      <c r="DJ225" s="9"/>
      <c r="DK225" s="3"/>
      <c r="DL225" s="3"/>
      <c r="DM225" s="3"/>
    </row>
    <row r="226" ht="11.25" customHeight="1">
      <c r="A226" s="3"/>
      <c r="B226" s="2"/>
      <c r="C226" s="3"/>
      <c r="D226" s="3"/>
      <c r="E226" s="3"/>
      <c r="F226" s="4"/>
      <c r="G226" s="4"/>
      <c r="H226" s="4"/>
      <c r="I226" s="5"/>
      <c r="J226" s="4"/>
      <c r="K226" s="4"/>
      <c r="L226" s="6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3"/>
      <c r="AL226" s="3"/>
      <c r="AM226" s="3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8"/>
      <c r="BU226" s="8"/>
      <c r="BV226" s="8"/>
      <c r="BW226" s="8"/>
      <c r="BX226" s="3"/>
      <c r="BY226" s="3"/>
      <c r="BZ226" s="3"/>
      <c r="CA226" s="8"/>
      <c r="CB226" s="8"/>
      <c r="CC226" s="8"/>
      <c r="CD226" s="8"/>
      <c r="CE226" s="8"/>
      <c r="CF226" s="8"/>
      <c r="CG226" s="9"/>
      <c r="CH226" s="8"/>
      <c r="CI226" s="8"/>
      <c r="CJ226" s="8"/>
      <c r="CK226" s="8"/>
      <c r="CL226" s="8"/>
      <c r="CM226" s="8"/>
      <c r="CN226" s="8"/>
      <c r="CO226" s="8"/>
      <c r="CP226" s="8"/>
      <c r="CQ226" s="9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9"/>
      <c r="DG226" s="9"/>
      <c r="DH226" s="10"/>
      <c r="DI226" s="9"/>
      <c r="DJ226" s="9"/>
      <c r="DK226" s="3"/>
      <c r="DL226" s="3"/>
      <c r="DM226" s="3"/>
    </row>
    <row r="227" ht="11.25" customHeight="1">
      <c r="A227" s="3"/>
      <c r="B227" s="2"/>
      <c r="C227" s="3"/>
      <c r="D227" s="3"/>
      <c r="E227" s="3"/>
      <c r="F227" s="4"/>
      <c r="G227" s="4"/>
      <c r="H227" s="4"/>
      <c r="I227" s="5"/>
      <c r="J227" s="4"/>
      <c r="K227" s="4"/>
      <c r="L227" s="6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3"/>
      <c r="AL227" s="3"/>
      <c r="AM227" s="3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8"/>
      <c r="BU227" s="8"/>
      <c r="BV227" s="8"/>
      <c r="BW227" s="8"/>
      <c r="BX227" s="3"/>
      <c r="BY227" s="3"/>
      <c r="BZ227" s="3"/>
      <c r="CA227" s="8"/>
      <c r="CB227" s="8"/>
      <c r="CC227" s="8"/>
      <c r="CD227" s="8"/>
      <c r="CE227" s="8"/>
      <c r="CF227" s="8"/>
      <c r="CG227" s="9"/>
      <c r="CH227" s="8"/>
      <c r="CI227" s="8"/>
      <c r="CJ227" s="8"/>
      <c r="CK227" s="8"/>
      <c r="CL227" s="8"/>
      <c r="CM227" s="8"/>
      <c r="CN227" s="8"/>
      <c r="CO227" s="8"/>
      <c r="CP227" s="8"/>
      <c r="CQ227" s="9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9"/>
      <c r="DG227" s="9"/>
      <c r="DH227" s="10"/>
      <c r="DI227" s="9"/>
      <c r="DJ227" s="9"/>
      <c r="DK227" s="3"/>
      <c r="DL227" s="3"/>
      <c r="DM227" s="3"/>
    </row>
    <row r="228" ht="11.25" customHeight="1">
      <c r="A228" s="3"/>
      <c r="B228" s="2"/>
      <c r="C228" s="3"/>
      <c r="D228" s="3"/>
      <c r="E228" s="3"/>
      <c r="F228" s="4"/>
      <c r="G228" s="4"/>
      <c r="H228" s="4"/>
      <c r="I228" s="5"/>
      <c r="J228" s="4"/>
      <c r="K228" s="4"/>
      <c r="L228" s="6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3"/>
      <c r="AL228" s="3"/>
      <c r="AM228" s="3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8"/>
      <c r="BU228" s="8"/>
      <c r="BV228" s="8"/>
      <c r="BW228" s="8"/>
      <c r="BX228" s="3"/>
      <c r="BY228" s="3"/>
      <c r="BZ228" s="3"/>
      <c r="CA228" s="8"/>
      <c r="CB228" s="8"/>
      <c r="CC228" s="8"/>
      <c r="CD228" s="8"/>
      <c r="CE228" s="8"/>
      <c r="CF228" s="8"/>
      <c r="CG228" s="9"/>
      <c r="CH228" s="8"/>
      <c r="CI228" s="8"/>
      <c r="CJ228" s="8"/>
      <c r="CK228" s="8"/>
      <c r="CL228" s="8"/>
      <c r="CM228" s="8"/>
      <c r="CN228" s="8"/>
      <c r="CO228" s="8"/>
      <c r="CP228" s="8"/>
      <c r="CQ228" s="9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9"/>
      <c r="DG228" s="9"/>
      <c r="DH228" s="10"/>
      <c r="DI228" s="9"/>
      <c r="DJ228" s="9"/>
      <c r="DK228" s="3"/>
      <c r="DL228" s="3"/>
      <c r="DM228" s="3"/>
    </row>
    <row r="229" ht="11.25" customHeight="1">
      <c r="A229" s="3"/>
      <c r="B229" s="2"/>
      <c r="C229" s="3"/>
      <c r="D229" s="3"/>
      <c r="E229" s="3"/>
      <c r="F229" s="4"/>
      <c r="G229" s="4"/>
      <c r="H229" s="4"/>
      <c r="I229" s="5"/>
      <c r="J229" s="4"/>
      <c r="K229" s="4"/>
      <c r="L229" s="6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3"/>
      <c r="AL229" s="3"/>
      <c r="AM229" s="3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8"/>
      <c r="BU229" s="8"/>
      <c r="BV229" s="8"/>
      <c r="BW229" s="8"/>
      <c r="BX229" s="3"/>
      <c r="BY229" s="3"/>
      <c r="BZ229" s="3"/>
      <c r="CA229" s="8"/>
      <c r="CB229" s="8"/>
      <c r="CC229" s="8"/>
      <c r="CD229" s="8"/>
      <c r="CE229" s="8"/>
      <c r="CF229" s="8"/>
      <c r="CG229" s="9"/>
      <c r="CH229" s="8"/>
      <c r="CI229" s="8"/>
      <c r="CJ229" s="8"/>
      <c r="CK229" s="8"/>
      <c r="CL229" s="8"/>
      <c r="CM229" s="8"/>
      <c r="CN229" s="8"/>
      <c r="CO229" s="8"/>
      <c r="CP229" s="8"/>
      <c r="CQ229" s="9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9"/>
      <c r="DG229" s="9"/>
      <c r="DH229" s="10"/>
      <c r="DI229" s="9"/>
      <c r="DJ229" s="9"/>
      <c r="DK229" s="3"/>
      <c r="DL229" s="3"/>
      <c r="DM229" s="3"/>
    </row>
    <row r="230" ht="11.25" customHeight="1">
      <c r="A230" s="3"/>
      <c r="B230" s="2"/>
      <c r="C230" s="3"/>
      <c r="D230" s="3"/>
      <c r="E230" s="3"/>
      <c r="F230" s="4"/>
      <c r="G230" s="4"/>
      <c r="H230" s="4"/>
      <c r="I230" s="5"/>
      <c r="J230" s="4"/>
      <c r="K230" s="4"/>
      <c r="L230" s="6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3"/>
      <c r="AL230" s="3"/>
      <c r="AM230" s="3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8"/>
      <c r="BU230" s="8"/>
      <c r="BV230" s="8"/>
      <c r="BW230" s="8"/>
      <c r="BX230" s="3"/>
      <c r="BY230" s="3"/>
      <c r="BZ230" s="3"/>
      <c r="CA230" s="8"/>
      <c r="CB230" s="8"/>
      <c r="CC230" s="8"/>
      <c r="CD230" s="8"/>
      <c r="CE230" s="8"/>
      <c r="CF230" s="8"/>
      <c r="CG230" s="9"/>
      <c r="CH230" s="8"/>
      <c r="CI230" s="8"/>
      <c r="CJ230" s="8"/>
      <c r="CK230" s="8"/>
      <c r="CL230" s="8"/>
      <c r="CM230" s="8"/>
      <c r="CN230" s="8"/>
      <c r="CO230" s="8"/>
      <c r="CP230" s="8"/>
      <c r="CQ230" s="9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9"/>
      <c r="DG230" s="9"/>
      <c r="DH230" s="10"/>
      <c r="DI230" s="9"/>
      <c r="DJ230" s="9"/>
      <c r="DK230" s="3"/>
      <c r="DL230" s="3"/>
      <c r="DM230" s="3"/>
    </row>
    <row r="231" ht="11.25" customHeight="1">
      <c r="A231" s="3"/>
      <c r="B231" s="2"/>
      <c r="C231" s="3"/>
      <c r="D231" s="3"/>
      <c r="E231" s="3"/>
      <c r="F231" s="4"/>
      <c r="G231" s="4"/>
      <c r="H231" s="4"/>
      <c r="I231" s="5"/>
      <c r="J231" s="4"/>
      <c r="K231" s="4"/>
      <c r="L231" s="6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3"/>
      <c r="AL231" s="3"/>
      <c r="AM231" s="3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8"/>
      <c r="BU231" s="8"/>
      <c r="BV231" s="8"/>
      <c r="BW231" s="8"/>
      <c r="BX231" s="3"/>
      <c r="BY231" s="3"/>
      <c r="BZ231" s="3"/>
      <c r="CA231" s="8"/>
      <c r="CB231" s="8"/>
      <c r="CC231" s="8"/>
      <c r="CD231" s="8"/>
      <c r="CE231" s="8"/>
      <c r="CF231" s="8"/>
      <c r="CG231" s="9"/>
      <c r="CH231" s="8"/>
      <c r="CI231" s="8"/>
      <c r="CJ231" s="8"/>
      <c r="CK231" s="8"/>
      <c r="CL231" s="8"/>
      <c r="CM231" s="8"/>
      <c r="CN231" s="8"/>
      <c r="CO231" s="8"/>
      <c r="CP231" s="8"/>
      <c r="CQ231" s="9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9"/>
      <c r="DG231" s="9"/>
      <c r="DH231" s="10"/>
      <c r="DI231" s="9"/>
      <c r="DJ231" s="9"/>
      <c r="DK231" s="3"/>
      <c r="DL231" s="3"/>
      <c r="DM231" s="3"/>
    </row>
    <row r="232" ht="11.25" customHeight="1">
      <c r="A232" s="3"/>
      <c r="B232" s="2"/>
      <c r="C232" s="3"/>
      <c r="D232" s="3"/>
      <c r="E232" s="3"/>
      <c r="F232" s="4"/>
      <c r="G232" s="4"/>
      <c r="H232" s="4"/>
      <c r="I232" s="5"/>
      <c r="J232" s="4"/>
      <c r="K232" s="4"/>
      <c r="L232" s="6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3"/>
      <c r="AL232" s="3"/>
      <c r="AM232" s="3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8"/>
      <c r="BU232" s="8"/>
      <c r="BV232" s="8"/>
      <c r="BW232" s="8"/>
      <c r="BX232" s="3"/>
      <c r="BY232" s="3"/>
      <c r="BZ232" s="3"/>
      <c r="CA232" s="8"/>
      <c r="CB232" s="8"/>
      <c r="CC232" s="8"/>
      <c r="CD232" s="8"/>
      <c r="CE232" s="8"/>
      <c r="CF232" s="8"/>
      <c r="CG232" s="9"/>
      <c r="CH232" s="8"/>
      <c r="CI232" s="8"/>
      <c r="CJ232" s="8"/>
      <c r="CK232" s="8"/>
      <c r="CL232" s="8"/>
      <c r="CM232" s="8"/>
      <c r="CN232" s="8"/>
      <c r="CO232" s="8"/>
      <c r="CP232" s="8"/>
      <c r="CQ232" s="9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9"/>
      <c r="DG232" s="9"/>
      <c r="DH232" s="10"/>
      <c r="DI232" s="9"/>
      <c r="DJ232" s="9"/>
      <c r="DK232" s="3"/>
      <c r="DL232" s="3"/>
      <c r="DM232" s="3"/>
    </row>
    <row r="233" ht="11.25" customHeight="1">
      <c r="A233" s="3"/>
      <c r="B233" s="2"/>
      <c r="C233" s="3"/>
      <c r="D233" s="3"/>
      <c r="E233" s="3"/>
      <c r="F233" s="4"/>
      <c r="G233" s="4"/>
      <c r="H233" s="4"/>
      <c r="I233" s="5"/>
      <c r="J233" s="4"/>
      <c r="K233" s="4"/>
      <c r="L233" s="6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3"/>
      <c r="AL233" s="3"/>
      <c r="AM233" s="3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8"/>
      <c r="BU233" s="8"/>
      <c r="BV233" s="8"/>
      <c r="BW233" s="8"/>
      <c r="BX233" s="3"/>
      <c r="BY233" s="3"/>
      <c r="BZ233" s="3"/>
      <c r="CA233" s="8"/>
      <c r="CB233" s="8"/>
      <c r="CC233" s="8"/>
      <c r="CD233" s="8"/>
      <c r="CE233" s="8"/>
      <c r="CF233" s="8"/>
      <c r="CG233" s="9"/>
      <c r="CH233" s="8"/>
      <c r="CI233" s="8"/>
      <c r="CJ233" s="8"/>
      <c r="CK233" s="8"/>
      <c r="CL233" s="8"/>
      <c r="CM233" s="8"/>
      <c r="CN233" s="8"/>
      <c r="CO233" s="8"/>
      <c r="CP233" s="8"/>
      <c r="CQ233" s="9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9"/>
      <c r="DG233" s="9"/>
      <c r="DH233" s="10"/>
      <c r="DI233" s="9"/>
      <c r="DJ233" s="9"/>
      <c r="DK233" s="3"/>
      <c r="DL233" s="3"/>
      <c r="DM233" s="3"/>
    </row>
    <row r="234" ht="11.25" customHeight="1">
      <c r="A234" s="3"/>
      <c r="B234" s="2"/>
      <c r="C234" s="3"/>
      <c r="D234" s="3"/>
      <c r="E234" s="3"/>
      <c r="F234" s="4"/>
      <c r="G234" s="4"/>
      <c r="H234" s="4"/>
      <c r="I234" s="5"/>
      <c r="J234" s="4"/>
      <c r="K234" s="4"/>
      <c r="L234" s="6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3"/>
      <c r="AL234" s="3"/>
      <c r="AM234" s="3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8"/>
      <c r="BU234" s="8"/>
      <c r="BV234" s="8"/>
      <c r="BW234" s="8"/>
      <c r="BX234" s="3"/>
      <c r="BY234" s="3"/>
      <c r="BZ234" s="3"/>
      <c r="CA234" s="8"/>
      <c r="CB234" s="8"/>
      <c r="CC234" s="8"/>
      <c r="CD234" s="8"/>
      <c r="CE234" s="8"/>
      <c r="CF234" s="8"/>
      <c r="CG234" s="9"/>
      <c r="CH234" s="8"/>
      <c r="CI234" s="8"/>
      <c r="CJ234" s="8"/>
      <c r="CK234" s="8"/>
      <c r="CL234" s="8"/>
      <c r="CM234" s="8"/>
      <c r="CN234" s="8"/>
      <c r="CO234" s="8"/>
      <c r="CP234" s="8"/>
      <c r="CQ234" s="9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9"/>
      <c r="DG234" s="9"/>
      <c r="DH234" s="10"/>
      <c r="DI234" s="9"/>
      <c r="DJ234" s="9"/>
      <c r="DK234" s="3"/>
      <c r="DL234" s="3"/>
      <c r="DM234" s="3"/>
    </row>
    <row r="235" ht="11.25" customHeight="1">
      <c r="A235" s="3"/>
      <c r="B235" s="2"/>
      <c r="C235" s="3"/>
      <c r="D235" s="3"/>
      <c r="E235" s="3"/>
      <c r="F235" s="4"/>
      <c r="G235" s="4"/>
      <c r="H235" s="4"/>
      <c r="I235" s="5"/>
      <c r="J235" s="4"/>
      <c r="K235" s="4"/>
      <c r="L235" s="6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3"/>
      <c r="AL235" s="3"/>
      <c r="AM235" s="3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8"/>
      <c r="BU235" s="8"/>
      <c r="BV235" s="8"/>
      <c r="BW235" s="8"/>
      <c r="BX235" s="3"/>
      <c r="BY235" s="3"/>
      <c r="BZ235" s="3"/>
      <c r="CA235" s="8"/>
      <c r="CB235" s="8"/>
      <c r="CC235" s="8"/>
      <c r="CD235" s="8"/>
      <c r="CE235" s="8"/>
      <c r="CF235" s="8"/>
      <c r="CG235" s="9"/>
      <c r="CH235" s="8"/>
      <c r="CI235" s="8"/>
      <c r="CJ235" s="8"/>
      <c r="CK235" s="8"/>
      <c r="CL235" s="8"/>
      <c r="CM235" s="8"/>
      <c r="CN235" s="8"/>
      <c r="CO235" s="8"/>
      <c r="CP235" s="8"/>
      <c r="CQ235" s="9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9"/>
      <c r="DG235" s="9"/>
      <c r="DH235" s="10"/>
      <c r="DI235" s="9"/>
      <c r="DJ235" s="9"/>
      <c r="DK235" s="3"/>
      <c r="DL235" s="3"/>
      <c r="DM235" s="3"/>
    </row>
    <row r="236" ht="11.25" customHeight="1">
      <c r="A236" s="3"/>
      <c r="B236" s="2"/>
      <c r="C236" s="3"/>
      <c r="D236" s="3"/>
      <c r="E236" s="3"/>
      <c r="F236" s="4"/>
      <c r="G236" s="4"/>
      <c r="H236" s="4"/>
      <c r="I236" s="5"/>
      <c r="J236" s="4"/>
      <c r="K236" s="4"/>
      <c r="L236" s="6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3"/>
      <c r="AL236" s="3"/>
      <c r="AM236" s="3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8"/>
      <c r="BU236" s="8"/>
      <c r="BV236" s="8"/>
      <c r="BW236" s="8"/>
      <c r="BX236" s="3"/>
      <c r="BY236" s="3"/>
      <c r="BZ236" s="3"/>
      <c r="CA236" s="8"/>
      <c r="CB236" s="8"/>
      <c r="CC236" s="8"/>
      <c r="CD236" s="8"/>
      <c r="CE236" s="8"/>
      <c r="CF236" s="8"/>
      <c r="CG236" s="9"/>
      <c r="CH236" s="8"/>
      <c r="CI236" s="8"/>
      <c r="CJ236" s="8"/>
      <c r="CK236" s="8"/>
      <c r="CL236" s="8"/>
      <c r="CM236" s="8"/>
      <c r="CN236" s="8"/>
      <c r="CO236" s="8"/>
      <c r="CP236" s="8"/>
      <c r="CQ236" s="9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9"/>
      <c r="DG236" s="9"/>
      <c r="DH236" s="10"/>
      <c r="DI236" s="9"/>
      <c r="DJ236" s="9"/>
      <c r="DK236" s="3"/>
      <c r="DL236" s="3"/>
      <c r="DM236" s="3"/>
    </row>
    <row r="237" ht="11.25" customHeight="1">
      <c r="A237" s="3"/>
      <c r="B237" s="2"/>
      <c r="C237" s="3"/>
      <c r="D237" s="3"/>
      <c r="E237" s="3"/>
      <c r="F237" s="4"/>
      <c r="G237" s="4"/>
      <c r="H237" s="4"/>
      <c r="I237" s="5"/>
      <c r="J237" s="4"/>
      <c r="K237" s="4"/>
      <c r="L237" s="6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3"/>
      <c r="AL237" s="3"/>
      <c r="AM237" s="3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8"/>
      <c r="BU237" s="8"/>
      <c r="BV237" s="8"/>
      <c r="BW237" s="8"/>
      <c r="BX237" s="3"/>
      <c r="BY237" s="3"/>
      <c r="BZ237" s="3"/>
      <c r="CA237" s="8"/>
      <c r="CB237" s="8"/>
      <c r="CC237" s="8"/>
      <c r="CD237" s="8"/>
      <c r="CE237" s="8"/>
      <c r="CF237" s="8"/>
      <c r="CG237" s="9"/>
      <c r="CH237" s="8"/>
      <c r="CI237" s="8"/>
      <c r="CJ237" s="8"/>
      <c r="CK237" s="8"/>
      <c r="CL237" s="8"/>
      <c r="CM237" s="8"/>
      <c r="CN237" s="8"/>
      <c r="CO237" s="8"/>
      <c r="CP237" s="8"/>
      <c r="CQ237" s="9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9"/>
      <c r="DG237" s="9"/>
      <c r="DH237" s="10"/>
      <c r="DI237" s="9"/>
      <c r="DJ237" s="9"/>
      <c r="DK237" s="3"/>
      <c r="DL237" s="3"/>
      <c r="DM237" s="3"/>
    </row>
    <row r="238" ht="11.25" customHeight="1">
      <c r="A238" s="3"/>
      <c r="B238" s="2"/>
      <c r="C238" s="3"/>
      <c r="D238" s="3"/>
      <c r="E238" s="3"/>
      <c r="F238" s="4"/>
      <c r="G238" s="4"/>
      <c r="H238" s="4"/>
      <c r="I238" s="5"/>
      <c r="J238" s="4"/>
      <c r="K238" s="4"/>
      <c r="L238" s="6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3"/>
      <c r="AL238" s="3"/>
      <c r="AM238" s="3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8"/>
      <c r="BU238" s="8"/>
      <c r="BV238" s="8"/>
      <c r="BW238" s="8"/>
      <c r="BX238" s="3"/>
      <c r="BY238" s="3"/>
      <c r="BZ238" s="3"/>
      <c r="CA238" s="8"/>
      <c r="CB238" s="8"/>
      <c r="CC238" s="8"/>
      <c r="CD238" s="8"/>
      <c r="CE238" s="8"/>
      <c r="CF238" s="8"/>
      <c r="CG238" s="9"/>
      <c r="CH238" s="8"/>
      <c r="CI238" s="8"/>
      <c r="CJ238" s="8"/>
      <c r="CK238" s="8"/>
      <c r="CL238" s="8"/>
      <c r="CM238" s="8"/>
      <c r="CN238" s="8"/>
      <c r="CO238" s="8"/>
      <c r="CP238" s="8"/>
      <c r="CQ238" s="9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9"/>
      <c r="DG238" s="9"/>
      <c r="DH238" s="10"/>
      <c r="DI238" s="9"/>
      <c r="DJ238" s="9"/>
      <c r="DK238" s="3"/>
      <c r="DL238" s="3"/>
      <c r="DM238" s="3"/>
    </row>
    <row r="239" ht="11.25" customHeight="1">
      <c r="A239" s="3"/>
      <c r="B239" s="2"/>
      <c r="C239" s="3"/>
      <c r="D239" s="3"/>
      <c r="E239" s="3"/>
      <c r="F239" s="4"/>
      <c r="G239" s="4"/>
      <c r="H239" s="4"/>
      <c r="I239" s="5"/>
      <c r="J239" s="4"/>
      <c r="K239" s="4"/>
      <c r="L239" s="6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3"/>
      <c r="AL239" s="3"/>
      <c r="AM239" s="3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8"/>
      <c r="BU239" s="8"/>
      <c r="BV239" s="8"/>
      <c r="BW239" s="8"/>
      <c r="BX239" s="3"/>
      <c r="BY239" s="3"/>
      <c r="BZ239" s="3"/>
      <c r="CA239" s="8"/>
      <c r="CB239" s="8"/>
      <c r="CC239" s="8"/>
      <c r="CD239" s="8"/>
      <c r="CE239" s="8"/>
      <c r="CF239" s="8"/>
      <c r="CG239" s="9"/>
      <c r="CH239" s="8"/>
      <c r="CI239" s="8"/>
      <c r="CJ239" s="8"/>
      <c r="CK239" s="8"/>
      <c r="CL239" s="8"/>
      <c r="CM239" s="8"/>
      <c r="CN239" s="8"/>
      <c r="CO239" s="8"/>
      <c r="CP239" s="8"/>
      <c r="CQ239" s="9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9"/>
      <c r="DG239" s="9"/>
      <c r="DH239" s="10"/>
      <c r="DI239" s="9"/>
      <c r="DJ239" s="9"/>
      <c r="DK239" s="3"/>
      <c r="DL239" s="3"/>
      <c r="DM239" s="3"/>
    </row>
    <row r="240" ht="11.25" customHeight="1">
      <c r="A240" s="3"/>
      <c r="B240" s="2"/>
      <c r="C240" s="3"/>
      <c r="D240" s="3"/>
      <c r="E240" s="3"/>
      <c r="F240" s="4"/>
      <c r="G240" s="4"/>
      <c r="H240" s="4"/>
      <c r="I240" s="5"/>
      <c r="J240" s="4"/>
      <c r="K240" s="4"/>
      <c r="L240" s="6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3"/>
      <c r="AL240" s="3"/>
      <c r="AM240" s="3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8"/>
      <c r="BU240" s="8"/>
      <c r="BV240" s="8"/>
      <c r="BW240" s="8"/>
      <c r="BX240" s="3"/>
      <c r="BY240" s="3"/>
      <c r="BZ240" s="3"/>
      <c r="CA240" s="8"/>
      <c r="CB240" s="8"/>
      <c r="CC240" s="8"/>
      <c r="CD240" s="8"/>
      <c r="CE240" s="8"/>
      <c r="CF240" s="8"/>
      <c r="CG240" s="9"/>
      <c r="CH240" s="8"/>
      <c r="CI240" s="8"/>
      <c r="CJ240" s="8"/>
      <c r="CK240" s="8"/>
      <c r="CL240" s="8"/>
      <c r="CM240" s="8"/>
      <c r="CN240" s="8"/>
      <c r="CO240" s="8"/>
      <c r="CP240" s="8"/>
      <c r="CQ240" s="9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9"/>
      <c r="DG240" s="9"/>
      <c r="DH240" s="10"/>
      <c r="DI240" s="9"/>
      <c r="DJ240" s="9"/>
      <c r="DK240" s="3"/>
      <c r="DL240" s="3"/>
      <c r="DM240" s="3"/>
    </row>
    <row r="241" ht="11.25" customHeight="1">
      <c r="A241" s="3"/>
      <c r="B241" s="2"/>
      <c r="C241" s="3"/>
      <c r="D241" s="3"/>
      <c r="E241" s="3"/>
      <c r="F241" s="4"/>
      <c r="G241" s="4"/>
      <c r="H241" s="4"/>
      <c r="I241" s="5"/>
      <c r="J241" s="4"/>
      <c r="K241" s="4"/>
      <c r="L241" s="6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3"/>
      <c r="AL241" s="3"/>
      <c r="AM241" s="3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8"/>
      <c r="BU241" s="8"/>
      <c r="BV241" s="8"/>
      <c r="BW241" s="8"/>
      <c r="BX241" s="3"/>
      <c r="BY241" s="3"/>
      <c r="BZ241" s="3"/>
      <c r="CA241" s="8"/>
      <c r="CB241" s="8"/>
      <c r="CC241" s="8"/>
      <c r="CD241" s="8"/>
      <c r="CE241" s="8"/>
      <c r="CF241" s="8"/>
      <c r="CG241" s="9"/>
      <c r="CH241" s="8"/>
      <c r="CI241" s="8"/>
      <c r="CJ241" s="8"/>
      <c r="CK241" s="8"/>
      <c r="CL241" s="8"/>
      <c r="CM241" s="8"/>
      <c r="CN241" s="8"/>
      <c r="CO241" s="8"/>
      <c r="CP241" s="8"/>
      <c r="CQ241" s="9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9"/>
      <c r="DG241" s="9"/>
      <c r="DH241" s="10"/>
      <c r="DI241" s="9"/>
      <c r="DJ241" s="9"/>
      <c r="DK241" s="3"/>
      <c r="DL241" s="3"/>
      <c r="DM241" s="3"/>
    </row>
    <row r="242" ht="11.25" customHeight="1">
      <c r="A242" s="3"/>
      <c r="B242" s="2"/>
      <c r="C242" s="3"/>
      <c r="D242" s="3"/>
      <c r="E242" s="3"/>
      <c r="F242" s="4"/>
      <c r="G242" s="4"/>
      <c r="H242" s="4"/>
      <c r="I242" s="5"/>
      <c r="J242" s="4"/>
      <c r="K242" s="4"/>
      <c r="L242" s="6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3"/>
      <c r="AL242" s="3"/>
      <c r="AM242" s="3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8"/>
      <c r="BU242" s="8"/>
      <c r="BV242" s="8"/>
      <c r="BW242" s="8"/>
      <c r="BX242" s="3"/>
      <c r="BY242" s="3"/>
      <c r="BZ242" s="3"/>
      <c r="CA242" s="8"/>
      <c r="CB242" s="8"/>
      <c r="CC242" s="8"/>
      <c r="CD242" s="8"/>
      <c r="CE242" s="8"/>
      <c r="CF242" s="8"/>
      <c r="CG242" s="9"/>
      <c r="CH242" s="8"/>
      <c r="CI242" s="8"/>
      <c r="CJ242" s="8"/>
      <c r="CK242" s="8"/>
      <c r="CL242" s="8"/>
      <c r="CM242" s="8"/>
      <c r="CN242" s="8"/>
      <c r="CO242" s="8"/>
      <c r="CP242" s="8"/>
      <c r="CQ242" s="9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9"/>
      <c r="DG242" s="9"/>
      <c r="DH242" s="10"/>
      <c r="DI242" s="9"/>
      <c r="DJ242" s="9"/>
      <c r="DK242" s="3"/>
      <c r="DL242" s="3"/>
      <c r="DM242" s="3"/>
    </row>
    <row r="243" ht="11.25" customHeight="1">
      <c r="A243" s="3"/>
      <c r="B243" s="2"/>
      <c r="C243" s="3"/>
      <c r="D243" s="3"/>
      <c r="E243" s="3"/>
      <c r="F243" s="4"/>
      <c r="G243" s="4"/>
      <c r="H243" s="4"/>
      <c r="I243" s="5"/>
      <c r="J243" s="4"/>
      <c r="K243" s="4"/>
      <c r="L243" s="6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3"/>
      <c r="AL243" s="3"/>
      <c r="AM243" s="3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8"/>
      <c r="BU243" s="8"/>
      <c r="BV243" s="8"/>
      <c r="BW243" s="8"/>
      <c r="BX243" s="3"/>
      <c r="BY243" s="3"/>
      <c r="BZ243" s="3"/>
      <c r="CA243" s="8"/>
      <c r="CB243" s="8"/>
      <c r="CC243" s="8"/>
      <c r="CD243" s="8"/>
      <c r="CE243" s="8"/>
      <c r="CF243" s="8"/>
      <c r="CG243" s="9"/>
      <c r="CH243" s="8"/>
      <c r="CI243" s="8"/>
      <c r="CJ243" s="8"/>
      <c r="CK243" s="8"/>
      <c r="CL243" s="8"/>
      <c r="CM243" s="8"/>
      <c r="CN243" s="8"/>
      <c r="CO243" s="8"/>
      <c r="CP243" s="8"/>
      <c r="CQ243" s="9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9"/>
      <c r="DG243" s="9"/>
      <c r="DH243" s="10"/>
      <c r="DI243" s="9"/>
      <c r="DJ243" s="9"/>
      <c r="DK243" s="3"/>
      <c r="DL243" s="3"/>
      <c r="DM243" s="3"/>
    </row>
    <row r="244" ht="11.25" customHeight="1">
      <c r="A244" s="3"/>
      <c r="B244" s="2"/>
      <c r="C244" s="3"/>
      <c r="D244" s="3"/>
      <c r="E244" s="3"/>
      <c r="F244" s="4"/>
      <c r="G244" s="4"/>
      <c r="H244" s="4"/>
      <c r="I244" s="5"/>
      <c r="J244" s="4"/>
      <c r="K244" s="4"/>
      <c r="L244" s="6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3"/>
      <c r="AL244" s="3"/>
      <c r="AM244" s="3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8"/>
      <c r="BU244" s="8"/>
      <c r="BV244" s="8"/>
      <c r="BW244" s="8"/>
      <c r="BX244" s="3"/>
      <c r="BY244" s="3"/>
      <c r="BZ244" s="3"/>
      <c r="CA244" s="8"/>
      <c r="CB244" s="8"/>
      <c r="CC244" s="8"/>
      <c r="CD244" s="8"/>
      <c r="CE244" s="8"/>
      <c r="CF244" s="8"/>
      <c r="CG244" s="9"/>
      <c r="CH244" s="8"/>
      <c r="CI244" s="8"/>
      <c r="CJ244" s="8"/>
      <c r="CK244" s="8"/>
      <c r="CL244" s="8"/>
      <c r="CM244" s="8"/>
      <c r="CN244" s="8"/>
      <c r="CO244" s="8"/>
      <c r="CP244" s="8"/>
      <c r="CQ244" s="9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9"/>
      <c r="DG244" s="9"/>
      <c r="DH244" s="10"/>
      <c r="DI244" s="9"/>
      <c r="DJ244" s="9"/>
      <c r="DK244" s="3"/>
      <c r="DL244" s="3"/>
      <c r="DM244" s="3"/>
    </row>
    <row r="245" ht="11.25" customHeight="1">
      <c r="A245" s="3"/>
      <c r="B245" s="2"/>
      <c r="C245" s="3"/>
      <c r="D245" s="3"/>
      <c r="E245" s="3"/>
      <c r="F245" s="4"/>
      <c r="G245" s="4"/>
      <c r="H245" s="4"/>
      <c r="I245" s="5"/>
      <c r="J245" s="4"/>
      <c r="K245" s="4"/>
      <c r="L245" s="6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3"/>
      <c r="AL245" s="3"/>
      <c r="AM245" s="3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8"/>
      <c r="BU245" s="8"/>
      <c r="BV245" s="8"/>
      <c r="BW245" s="8"/>
      <c r="BX245" s="3"/>
      <c r="BY245" s="3"/>
      <c r="BZ245" s="3"/>
      <c r="CA245" s="8"/>
      <c r="CB245" s="8"/>
      <c r="CC245" s="8"/>
      <c r="CD245" s="8"/>
      <c r="CE245" s="8"/>
      <c r="CF245" s="8"/>
      <c r="CG245" s="9"/>
      <c r="CH245" s="8"/>
      <c r="CI245" s="8"/>
      <c r="CJ245" s="8"/>
      <c r="CK245" s="8"/>
      <c r="CL245" s="8"/>
      <c r="CM245" s="8"/>
      <c r="CN245" s="8"/>
      <c r="CO245" s="8"/>
      <c r="CP245" s="8"/>
      <c r="CQ245" s="9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9"/>
      <c r="DG245" s="9"/>
      <c r="DH245" s="10"/>
      <c r="DI245" s="9"/>
      <c r="DJ245" s="9"/>
      <c r="DK245" s="3"/>
      <c r="DL245" s="3"/>
      <c r="DM245" s="3"/>
    </row>
    <row r="246" ht="11.25" customHeight="1">
      <c r="A246" s="3"/>
      <c r="B246" s="2"/>
      <c r="C246" s="3"/>
      <c r="D246" s="3"/>
      <c r="E246" s="3"/>
      <c r="F246" s="4"/>
      <c r="G246" s="4"/>
      <c r="H246" s="4"/>
      <c r="I246" s="5"/>
      <c r="J246" s="4"/>
      <c r="K246" s="4"/>
      <c r="L246" s="6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3"/>
      <c r="AL246" s="3"/>
      <c r="AM246" s="3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8"/>
      <c r="BU246" s="8"/>
      <c r="BV246" s="8"/>
      <c r="BW246" s="8"/>
      <c r="BX246" s="3"/>
      <c r="BY246" s="3"/>
      <c r="BZ246" s="3"/>
      <c r="CA246" s="8"/>
      <c r="CB246" s="8"/>
      <c r="CC246" s="8"/>
      <c r="CD246" s="8"/>
      <c r="CE246" s="8"/>
      <c r="CF246" s="8"/>
      <c r="CG246" s="9"/>
      <c r="CH246" s="8"/>
      <c r="CI246" s="8"/>
      <c r="CJ246" s="8"/>
      <c r="CK246" s="8"/>
      <c r="CL246" s="8"/>
      <c r="CM246" s="8"/>
      <c r="CN246" s="8"/>
      <c r="CO246" s="8"/>
      <c r="CP246" s="8"/>
      <c r="CQ246" s="9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9"/>
      <c r="DG246" s="9"/>
      <c r="DH246" s="10"/>
      <c r="DI246" s="9"/>
      <c r="DJ246" s="9"/>
      <c r="DK246" s="3"/>
      <c r="DL246" s="3"/>
      <c r="DM246" s="3"/>
    </row>
    <row r="247" ht="11.25" customHeight="1">
      <c r="A247" s="3"/>
      <c r="B247" s="2"/>
      <c r="C247" s="3"/>
      <c r="D247" s="3"/>
      <c r="E247" s="3"/>
      <c r="F247" s="4"/>
      <c r="G247" s="4"/>
      <c r="H247" s="4"/>
      <c r="I247" s="5"/>
      <c r="J247" s="4"/>
      <c r="K247" s="4"/>
      <c r="L247" s="6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3"/>
      <c r="AL247" s="3"/>
      <c r="AM247" s="3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8"/>
      <c r="BU247" s="8"/>
      <c r="BV247" s="8"/>
      <c r="BW247" s="8"/>
      <c r="BX247" s="3"/>
      <c r="BY247" s="3"/>
      <c r="BZ247" s="3"/>
      <c r="CA247" s="8"/>
      <c r="CB247" s="8"/>
      <c r="CC247" s="8"/>
      <c r="CD247" s="8"/>
      <c r="CE247" s="8"/>
      <c r="CF247" s="8"/>
      <c r="CG247" s="9"/>
      <c r="CH247" s="8"/>
      <c r="CI247" s="8"/>
      <c r="CJ247" s="8"/>
      <c r="CK247" s="8"/>
      <c r="CL247" s="8"/>
      <c r="CM247" s="8"/>
      <c r="CN247" s="8"/>
      <c r="CO247" s="8"/>
      <c r="CP247" s="8"/>
      <c r="CQ247" s="9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9"/>
      <c r="DG247" s="9"/>
      <c r="DH247" s="10"/>
      <c r="DI247" s="9"/>
      <c r="DJ247" s="9"/>
      <c r="DK247" s="3"/>
      <c r="DL247" s="3"/>
      <c r="DM247" s="3"/>
    </row>
    <row r="248" ht="11.25" customHeight="1">
      <c r="A248" s="3"/>
      <c r="B248" s="2"/>
      <c r="C248" s="3"/>
      <c r="D248" s="3"/>
      <c r="E248" s="3"/>
      <c r="F248" s="4"/>
      <c r="G248" s="4"/>
      <c r="H248" s="4"/>
      <c r="I248" s="5"/>
      <c r="J248" s="4"/>
      <c r="K248" s="4"/>
      <c r="L248" s="6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3"/>
      <c r="AL248" s="3"/>
      <c r="AM248" s="3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8"/>
      <c r="BU248" s="8"/>
      <c r="BV248" s="8"/>
      <c r="BW248" s="8"/>
      <c r="BX248" s="3"/>
      <c r="BY248" s="3"/>
      <c r="BZ248" s="3"/>
      <c r="CA248" s="8"/>
      <c r="CB248" s="8"/>
      <c r="CC248" s="8"/>
      <c r="CD248" s="8"/>
      <c r="CE248" s="8"/>
      <c r="CF248" s="8"/>
      <c r="CG248" s="9"/>
      <c r="CH248" s="8"/>
      <c r="CI248" s="8"/>
      <c r="CJ248" s="8"/>
      <c r="CK248" s="8"/>
      <c r="CL248" s="8"/>
      <c r="CM248" s="8"/>
      <c r="CN248" s="8"/>
      <c r="CO248" s="8"/>
      <c r="CP248" s="8"/>
      <c r="CQ248" s="9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9"/>
      <c r="DG248" s="9"/>
      <c r="DH248" s="10"/>
      <c r="DI248" s="9"/>
      <c r="DJ248" s="9"/>
      <c r="DK248" s="3"/>
      <c r="DL248" s="3"/>
      <c r="DM248" s="3"/>
    </row>
    <row r="249" ht="11.25" customHeight="1">
      <c r="A249" s="3"/>
      <c r="B249" s="2"/>
      <c r="C249" s="3"/>
      <c r="D249" s="3"/>
      <c r="E249" s="3"/>
      <c r="F249" s="4"/>
      <c r="G249" s="4"/>
      <c r="H249" s="4"/>
      <c r="I249" s="5"/>
      <c r="J249" s="4"/>
      <c r="K249" s="4"/>
      <c r="L249" s="6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3"/>
      <c r="AL249" s="3"/>
      <c r="AM249" s="3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8"/>
      <c r="BU249" s="8"/>
      <c r="BV249" s="8"/>
      <c r="BW249" s="8"/>
      <c r="BX249" s="3"/>
      <c r="BY249" s="3"/>
      <c r="BZ249" s="3"/>
      <c r="CA249" s="8"/>
      <c r="CB249" s="8"/>
      <c r="CC249" s="8"/>
      <c r="CD249" s="8"/>
      <c r="CE249" s="8"/>
      <c r="CF249" s="8"/>
      <c r="CG249" s="9"/>
      <c r="CH249" s="8"/>
      <c r="CI249" s="8"/>
      <c r="CJ249" s="8"/>
      <c r="CK249" s="8"/>
      <c r="CL249" s="8"/>
      <c r="CM249" s="8"/>
      <c r="CN249" s="8"/>
      <c r="CO249" s="8"/>
      <c r="CP249" s="8"/>
      <c r="CQ249" s="9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9"/>
      <c r="DG249" s="9"/>
      <c r="DH249" s="10"/>
      <c r="DI249" s="9"/>
      <c r="DJ249" s="9"/>
      <c r="DK249" s="3"/>
      <c r="DL249" s="3"/>
      <c r="DM249" s="3"/>
    </row>
    <row r="250" ht="11.25" customHeight="1">
      <c r="A250" s="3"/>
      <c r="B250" s="2"/>
      <c r="C250" s="3"/>
      <c r="D250" s="3"/>
      <c r="E250" s="3"/>
      <c r="F250" s="4"/>
      <c r="G250" s="4"/>
      <c r="H250" s="4"/>
      <c r="I250" s="5"/>
      <c r="J250" s="4"/>
      <c r="K250" s="4"/>
      <c r="L250" s="6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3"/>
      <c r="AL250" s="3"/>
      <c r="AM250" s="3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8"/>
      <c r="BU250" s="8"/>
      <c r="BV250" s="8"/>
      <c r="BW250" s="8"/>
      <c r="BX250" s="3"/>
      <c r="BY250" s="3"/>
      <c r="BZ250" s="3"/>
      <c r="CA250" s="8"/>
      <c r="CB250" s="8"/>
      <c r="CC250" s="8"/>
      <c r="CD250" s="8"/>
      <c r="CE250" s="8"/>
      <c r="CF250" s="8"/>
      <c r="CG250" s="9"/>
      <c r="CH250" s="8"/>
      <c r="CI250" s="8"/>
      <c r="CJ250" s="8"/>
      <c r="CK250" s="8"/>
      <c r="CL250" s="8"/>
      <c r="CM250" s="8"/>
      <c r="CN250" s="8"/>
      <c r="CO250" s="8"/>
      <c r="CP250" s="8"/>
      <c r="CQ250" s="9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9"/>
      <c r="DG250" s="9"/>
      <c r="DH250" s="10"/>
      <c r="DI250" s="9"/>
      <c r="DJ250" s="9"/>
      <c r="DK250" s="3"/>
      <c r="DL250" s="3"/>
      <c r="DM250" s="3"/>
    </row>
    <row r="251" ht="11.25" customHeight="1">
      <c r="A251" s="3"/>
      <c r="B251" s="2"/>
      <c r="C251" s="3"/>
      <c r="D251" s="3"/>
      <c r="E251" s="3"/>
      <c r="F251" s="4"/>
      <c r="G251" s="4"/>
      <c r="H251" s="4"/>
      <c r="I251" s="5"/>
      <c r="J251" s="4"/>
      <c r="K251" s="4"/>
      <c r="L251" s="6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3"/>
      <c r="AL251" s="3"/>
      <c r="AM251" s="3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8"/>
      <c r="BU251" s="8"/>
      <c r="BV251" s="8"/>
      <c r="BW251" s="8"/>
      <c r="BX251" s="3"/>
      <c r="BY251" s="3"/>
      <c r="BZ251" s="3"/>
      <c r="CA251" s="8"/>
      <c r="CB251" s="8"/>
      <c r="CC251" s="8"/>
      <c r="CD251" s="8"/>
      <c r="CE251" s="8"/>
      <c r="CF251" s="8"/>
      <c r="CG251" s="9"/>
      <c r="CH251" s="8"/>
      <c r="CI251" s="8"/>
      <c r="CJ251" s="8"/>
      <c r="CK251" s="8"/>
      <c r="CL251" s="8"/>
      <c r="CM251" s="8"/>
      <c r="CN251" s="8"/>
      <c r="CO251" s="8"/>
      <c r="CP251" s="8"/>
      <c r="CQ251" s="9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9"/>
      <c r="DG251" s="9"/>
      <c r="DH251" s="10"/>
      <c r="DI251" s="9"/>
      <c r="DJ251" s="9"/>
      <c r="DK251" s="3"/>
      <c r="DL251" s="3"/>
      <c r="DM251" s="3"/>
    </row>
    <row r="252" ht="11.25" customHeight="1">
      <c r="A252" s="3"/>
      <c r="B252" s="2"/>
      <c r="C252" s="3"/>
      <c r="D252" s="3"/>
      <c r="E252" s="3"/>
      <c r="F252" s="4"/>
      <c r="G252" s="4"/>
      <c r="H252" s="4"/>
      <c r="I252" s="5"/>
      <c r="J252" s="4"/>
      <c r="K252" s="4"/>
      <c r="L252" s="6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3"/>
      <c r="AL252" s="3"/>
      <c r="AM252" s="3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8"/>
      <c r="BU252" s="8"/>
      <c r="BV252" s="8"/>
      <c r="BW252" s="8"/>
      <c r="BX252" s="3"/>
      <c r="BY252" s="3"/>
      <c r="BZ252" s="3"/>
      <c r="CA252" s="8"/>
      <c r="CB252" s="8"/>
      <c r="CC252" s="8"/>
      <c r="CD252" s="8"/>
      <c r="CE252" s="8"/>
      <c r="CF252" s="8"/>
      <c r="CG252" s="9"/>
      <c r="CH252" s="8"/>
      <c r="CI252" s="8"/>
      <c r="CJ252" s="8"/>
      <c r="CK252" s="8"/>
      <c r="CL252" s="8"/>
      <c r="CM252" s="8"/>
      <c r="CN252" s="8"/>
      <c r="CO252" s="8"/>
      <c r="CP252" s="8"/>
      <c r="CQ252" s="9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9"/>
      <c r="DG252" s="9"/>
      <c r="DH252" s="10"/>
      <c r="DI252" s="9"/>
      <c r="DJ252" s="9"/>
      <c r="DK252" s="3"/>
      <c r="DL252" s="3"/>
      <c r="DM252" s="3"/>
    </row>
    <row r="253" ht="11.25" customHeight="1">
      <c r="A253" s="3"/>
      <c r="B253" s="2"/>
      <c r="C253" s="3"/>
      <c r="D253" s="3"/>
      <c r="E253" s="3"/>
      <c r="F253" s="4"/>
      <c r="G253" s="4"/>
      <c r="H253" s="4"/>
      <c r="I253" s="5"/>
      <c r="J253" s="4"/>
      <c r="K253" s="4"/>
      <c r="L253" s="6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3"/>
      <c r="AL253" s="3"/>
      <c r="AM253" s="3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8"/>
      <c r="BU253" s="8"/>
      <c r="BV253" s="8"/>
      <c r="BW253" s="8"/>
      <c r="BX253" s="3"/>
      <c r="BY253" s="3"/>
      <c r="BZ253" s="3"/>
      <c r="CA253" s="8"/>
      <c r="CB253" s="8"/>
      <c r="CC253" s="8"/>
      <c r="CD253" s="8"/>
      <c r="CE253" s="8"/>
      <c r="CF253" s="8"/>
      <c r="CG253" s="9"/>
      <c r="CH253" s="8"/>
      <c r="CI253" s="8"/>
      <c r="CJ253" s="8"/>
      <c r="CK253" s="8"/>
      <c r="CL253" s="8"/>
      <c r="CM253" s="8"/>
      <c r="CN253" s="8"/>
      <c r="CO253" s="8"/>
      <c r="CP253" s="8"/>
      <c r="CQ253" s="9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9"/>
      <c r="DG253" s="9"/>
      <c r="DH253" s="10"/>
      <c r="DI253" s="9"/>
      <c r="DJ253" s="9"/>
      <c r="DK253" s="3"/>
      <c r="DL253" s="3"/>
      <c r="DM253" s="3"/>
    </row>
    <row r="254" ht="11.25" customHeight="1">
      <c r="A254" s="3"/>
      <c r="B254" s="2"/>
      <c r="C254" s="3"/>
      <c r="D254" s="3"/>
      <c r="E254" s="3"/>
      <c r="F254" s="4"/>
      <c r="G254" s="4"/>
      <c r="H254" s="4"/>
      <c r="I254" s="5"/>
      <c r="J254" s="4"/>
      <c r="K254" s="4"/>
      <c r="L254" s="6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3"/>
      <c r="AL254" s="3"/>
      <c r="AM254" s="3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8"/>
      <c r="BU254" s="8"/>
      <c r="BV254" s="8"/>
      <c r="BW254" s="8"/>
      <c r="BX254" s="3"/>
      <c r="BY254" s="3"/>
      <c r="BZ254" s="3"/>
      <c r="CA254" s="8"/>
      <c r="CB254" s="8"/>
      <c r="CC254" s="8"/>
      <c r="CD254" s="8"/>
      <c r="CE254" s="8"/>
      <c r="CF254" s="8"/>
      <c r="CG254" s="9"/>
      <c r="CH254" s="8"/>
      <c r="CI254" s="8"/>
      <c r="CJ254" s="8"/>
      <c r="CK254" s="8"/>
      <c r="CL254" s="8"/>
      <c r="CM254" s="8"/>
      <c r="CN254" s="8"/>
      <c r="CO254" s="8"/>
      <c r="CP254" s="8"/>
      <c r="CQ254" s="9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9"/>
      <c r="DG254" s="9"/>
      <c r="DH254" s="10"/>
      <c r="DI254" s="9"/>
      <c r="DJ254" s="9"/>
      <c r="DK254" s="3"/>
      <c r="DL254" s="3"/>
      <c r="DM254" s="3"/>
    </row>
    <row r="255" ht="11.25" customHeight="1">
      <c r="A255" s="3"/>
      <c r="B255" s="2"/>
      <c r="C255" s="3"/>
      <c r="D255" s="3"/>
      <c r="E255" s="3"/>
      <c r="F255" s="4"/>
      <c r="G255" s="4"/>
      <c r="H255" s="4"/>
      <c r="I255" s="5"/>
      <c r="J255" s="4"/>
      <c r="K255" s="4"/>
      <c r="L255" s="6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3"/>
      <c r="AL255" s="3"/>
      <c r="AM255" s="3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8"/>
      <c r="BU255" s="8"/>
      <c r="BV255" s="8"/>
      <c r="BW255" s="8"/>
      <c r="BX255" s="3"/>
      <c r="BY255" s="3"/>
      <c r="BZ255" s="3"/>
      <c r="CA255" s="8"/>
      <c r="CB255" s="8"/>
      <c r="CC255" s="8"/>
      <c r="CD255" s="8"/>
      <c r="CE255" s="8"/>
      <c r="CF255" s="8"/>
      <c r="CG255" s="9"/>
      <c r="CH255" s="8"/>
      <c r="CI255" s="8"/>
      <c r="CJ255" s="8"/>
      <c r="CK255" s="8"/>
      <c r="CL255" s="8"/>
      <c r="CM255" s="8"/>
      <c r="CN255" s="8"/>
      <c r="CO255" s="8"/>
      <c r="CP255" s="8"/>
      <c r="CQ255" s="9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9"/>
      <c r="DG255" s="9"/>
      <c r="DH255" s="10"/>
      <c r="DI255" s="9"/>
      <c r="DJ255" s="9"/>
      <c r="DK255" s="3"/>
      <c r="DL255" s="3"/>
      <c r="DM255" s="3"/>
    </row>
    <row r="256" ht="11.25" customHeight="1">
      <c r="A256" s="3"/>
      <c r="B256" s="2"/>
      <c r="C256" s="3"/>
      <c r="D256" s="3"/>
      <c r="E256" s="3"/>
      <c r="F256" s="4"/>
      <c r="G256" s="4"/>
      <c r="H256" s="4"/>
      <c r="I256" s="5"/>
      <c r="J256" s="4"/>
      <c r="K256" s="4"/>
      <c r="L256" s="6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3"/>
      <c r="AL256" s="3"/>
      <c r="AM256" s="3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8"/>
      <c r="BU256" s="8"/>
      <c r="BV256" s="8"/>
      <c r="BW256" s="8"/>
      <c r="BX256" s="3"/>
      <c r="BY256" s="3"/>
      <c r="BZ256" s="3"/>
      <c r="CA256" s="8"/>
      <c r="CB256" s="8"/>
      <c r="CC256" s="8"/>
      <c r="CD256" s="8"/>
      <c r="CE256" s="8"/>
      <c r="CF256" s="8"/>
      <c r="CG256" s="9"/>
      <c r="CH256" s="8"/>
      <c r="CI256" s="8"/>
      <c r="CJ256" s="8"/>
      <c r="CK256" s="8"/>
      <c r="CL256" s="8"/>
      <c r="CM256" s="8"/>
      <c r="CN256" s="8"/>
      <c r="CO256" s="8"/>
      <c r="CP256" s="8"/>
      <c r="CQ256" s="9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9"/>
      <c r="DG256" s="9"/>
      <c r="DH256" s="10"/>
      <c r="DI256" s="9"/>
      <c r="DJ256" s="9"/>
      <c r="DK256" s="3"/>
      <c r="DL256" s="3"/>
      <c r="DM256" s="3"/>
    </row>
    <row r="257" ht="11.25" customHeight="1">
      <c r="A257" s="3"/>
      <c r="B257" s="2"/>
      <c r="C257" s="3"/>
      <c r="D257" s="3"/>
      <c r="E257" s="3"/>
      <c r="F257" s="4"/>
      <c r="G257" s="4"/>
      <c r="H257" s="4"/>
      <c r="I257" s="5"/>
      <c r="J257" s="4"/>
      <c r="K257" s="4"/>
      <c r="L257" s="6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3"/>
      <c r="AL257" s="3"/>
      <c r="AM257" s="3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8"/>
      <c r="BU257" s="8"/>
      <c r="BV257" s="8"/>
      <c r="BW257" s="8"/>
      <c r="BX257" s="3"/>
      <c r="BY257" s="3"/>
      <c r="BZ257" s="3"/>
      <c r="CA257" s="8"/>
      <c r="CB257" s="8"/>
      <c r="CC257" s="8"/>
      <c r="CD257" s="8"/>
      <c r="CE257" s="8"/>
      <c r="CF257" s="8"/>
      <c r="CG257" s="9"/>
      <c r="CH257" s="8"/>
      <c r="CI257" s="8"/>
      <c r="CJ257" s="8"/>
      <c r="CK257" s="8"/>
      <c r="CL257" s="8"/>
      <c r="CM257" s="8"/>
      <c r="CN257" s="8"/>
      <c r="CO257" s="8"/>
      <c r="CP257" s="8"/>
      <c r="CQ257" s="9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9"/>
      <c r="DG257" s="9"/>
      <c r="DH257" s="10"/>
      <c r="DI257" s="9"/>
      <c r="DJ257" s="9"/>
      <c r="DK257" s="3"/>
      <c r="DL257" s="3"/>
      <c r="DM257" s="3"/>
    </row>
    <row r="258" ht="11.25" customHeight="1">
      <c r="A258" s="3"/>
      <c r="B258" s="2"/>
      <c r="C258" s="3"/>
      <c r="D258" s="3"/>
      <c r="E258" s="3"/>
      <c r="F258" s="4"/>
      <c r="G258" s="4"/>
      <c r="H258" s="4"/>
      <c r="I258" s="5"/>
      <c r="J258" s="4"/>
      <c r="K258" s="4"/>
      <c r="L258" s="6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3"/>
      <c r="AL258" s="3"/>
      <c r="AM258" s="3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8"/>
      <c r="BU258" s="8"/>
      <c r="BV258" s="8"/>
      <c r="BW258" s="8"/>
      <c r="BX258" s="3"/>
      <c r="BY258" s="3"/>
      <c r="BZ258" s="3"/>
      <c r="CA258" s="8"/>
      <c r="CB258" s="8"/>
      <c r="CC258" s="8"/>
      <c r="CD258" s="8"/>
      <c r="CE258" s="8"/>
      <c r="CF258" s="8"/>
      <c r="CG258" s="9"/>
      <c r="CH258" s="8"/>
      <c r="CI258" s="8"/>
      <c r="CJ258" s="8"/>
      <c r="CK258" s="8"/>
      <c r="CL258" s="8"/>
      <c r="CM258" s="8"/>
      <c r="CN258" s="8"/>
      <c r="CO258" s="8"/>
      <c r="CP258" s="8"/>
      <c r="CQ258" s="9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9"/>
      <c r="DG258" s="9"/>
      <c r="DH258" s="10"/>
      <c r="DI258" s="9"/>
      <c r="DJ258" s="9"/>
      <c r="DK258" s="3"/>
      <c r="DL258" s="3"/>
      <c r="DM258" s="3"/>
    </row>
    <row r="259" ht="11.25" customHeight="1">
      <c r="A259" s="3"/>
      <c r="B259" s="2"/>
      <c r="C259" s="3"/>
      <c r="D259" s="3"/>
      <c r="E259" s="3"/>
      <c r="F259" s="4"/>
      <c r="G259" s="4"/>
      <c r="H259" s="4"/>
      <c r="I259" s="5"/>
      <c r="J259" s="4"/>
      <c r="K259" s="4"/>
      <c r="L259" s="6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3"/>
      <c r="AL259" s="3"/>
      <c r="AM259" s="3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8"/>
      <c r="BU259" s="8"/>
      <c r="BV259" s="8"/>
      <c r="BW259" s="8"/>
      <c r="BX259" s="3"/>
      <c r="BY259" s="3"/>
      <c r="BZ259" s="3"/>
      <c r="CA259" s="8"/>
      <c r="CB259" s="8"/>
      <c r="CC259" s="8"/>
      <c r="CD259" s="8"/>
      <c r="CE259" s="8"/>
      <c r="CF259" s="8"/>
      <c r="CG259" s="9"/>
      <c r="CH259" s="8"/>
      <c r="CI259" s="8"/>
      <c r="CJ259" s="8"/>
      <c r="CK259" s="8"/>
      <c r="CL259" s="8"/>
      <c r="CM259" s="8"/>
      <c r="CN259" s="8"/>
      <c r="CO259" s="8"/>
      <c r="CP259" s="8"/>
      <c r="CQ259" s="9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9"/>
      <c r="DG259" s="9"/>
      <c r="DH259" s="10"/>
      <c r="DI259" s="9"/>
      <c r="DJ259" s="9"/>
      <c r="DK259" s="3"/>
      <c r="DL259" s="3"/>
      <c r="DM259" s="3"/>
    </row>
    <row r="260" ht="11.25" customHeight="1">
      <c r="A260" s="3"/>
      <c r="B260" s="2"/>
      <c r="C260" s="3"/>
      <c r="D260" s="3"/>
      <c r="E260" s="3"/>
      <c r="F260" s="4"/>
      <c r="G260" s="4"/>
      <c r="H260" s="4"/>
      <c r="I260" s="5"/>
      <c r="J260" s="4"/>
      <c r="K260" s="4"/>
      <c r="L260" s="6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3"/>
      <c r="AL260" s="3"/>
      <c r="AM260" s="3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8"/>
      <c r="BU260" s="8"/>
      <c r="BV260" s="8"/>
      <c r="BW260" s="8"/>
      <c r="BX260" s="3"/>
      <c r="BY260" s="3"/>
      <c r="BZ260" s="3"/>
      <c r="CA260" s="8"/>
      <c r="CB260" s="8"/>
      <c r="CC260" s="8"/>
      <c r="CD260" s="8"/>
      <c r="CE260" s="8"/>
      <c r="CF260" s="8"/>
      <c r="CG260" s="9"/>
      <c r="CH260" s="8"/>
      <c r="CI260" s="8"/>
      <c r="CJ260" s="8"/>
      <c r="CK260" s="8"/>
      <c r="CL260" s="8"/>
      <c r="CM260" s="8"/>
      <c r="CN260" s="8"/>
      <c r="CO260" s="8"/>
      <c r="CP260" s="8"/>
      <c r="CQ260" s="9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9"/>
      <c r="DG260" s="9"/>
      <c r="DH260" s="10"/>
      <c r="DI260" s="9"/>
      <c r="DJ260" s="9"/>
      <c r="DK260" s="3"/>
      <c r="DL260" s="3"/>
      <c r="DM260" s="3"/>
    </row>
    <row r="261" ht="11.25" customHeight="1">
      <c r="A261" s="3"/>
      <c r="B261" s="2"/>
      <c r="C261" s="3"/>
      <c r="D261" s="3"/>
      <c r="E261" s="3"/>
      <c r="F261" s="4"/>
      <c r="G261" s="4"/>
      <c r="H261" s="4"/>
      <c r="I261" s="5"/>
      <c r="J261" s="4"/>
      <c r="K261" s="4"/>
      <c r="L261" s="6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3"/>
      <c r="AL261" s="3"/>
      <c r="AM261" s="3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8"/>
      <c r="BU261" s="8"/>
      <c r="BV261" s="8"/>
      <c r="BW261" s="8"/>
      <c r="BX261" s="3"/>
      <c r="BY261" s="3"/>
      <c r="BZ261" s="3"/>
      <c r="CA261" s="8"/>
      <c r="CB261" s="8"/>
      <c r="CC261" s="8"/>
      <c r="CD261" s="8"/>
      <c r="CE261" s="8"/>
      <c r="CF261" s="8"/>
      <c r="CG261" s="9"/>
      <c r="CH261" s="8"/>
      <c r="CI261" s="8"/>
      <c r="CJ261" s="8"/>
      <c r="CK261" s="8"/>
      <c r="CL261" s="8"/>
      <c r="CM261" s="8"/>
      <c r="CN261" s="8"/>
      <c r="CO261" s="8"/>
      <c r="CP261" s="8"/>
      <c r="CQ261" s="9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9"/>
      <c r="DG261" s="9"/>
      <c r="DH261" s="10"/>
      <c r="DI261" s="9"/>
      <c r="DJ261" s="9"/>
      <c r="DK261" s="3"/>
      <c r="DL261" s="3"/>
      <c r="DM261" s="3"/>
    </row>
    <row r="262" ht="11.25" customHeight="1">
      <c r="A262" s="3"/>
      <c r="B262" s="2"/>
      <c r="C262" s="3"/>
      <c r="D262" s="3"/>
      <c r="E262" s="3"/>
      <c r="F262" s="4"/>
      <c r="G262" s="4"/>
      <c r="H262" s="4"/>
      <c r="I262" s="5"/>
      <c r="J262" s="4"/>
      <c r="K262" s="4"/>
      <c r="L262" s="6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3"/>
      <c r="AL262" s="3"/>
      <c r="AM262" s="3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8"/>
      <c r="BU262" s="8"/>
      <c r="BV262" s="8"/>
      <c r="BW262" s="8"/>
      <c r="BX262" s="3"/>
      <c r="BY262" s="3"/>
      <c r="BZ262" s="3"/>
      <c r="CA262" s="8"/>
      <c r="CB262" s="8"/>
      <c r="CC262" s="8"/>
      <c r="CD262" s="8"/>
      <c r="CE262" s="8"/>
      <c r="CF262" s="8"/>
      <c r="CG262" s="9"/>
      <c r="CH262" s="8"/>
      <c r="CI262" s="8"/>
      <c r="CJ262" s="8"/>
      <c r="CK262" s="8"/>
      <c r="CL262" s="8"/>
      <c r="CM262" s="8"/>
      <c r="CN262" s="8"/>
      <c r="CO262" s="8"/>
      <c r="CP262" s="8"/>
      <c r="CQ262" s="9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9"/>
      <c r="DG262" s="9"/>
      <c r="DH262" s="10"/>
      <c r="DI262" s="9"/>
      <c r="DJ262" s="9"/>
      <c r="DK262" s="3"/>
      <c r="DL262" s="3"/>
      <c r="DM262" s="3"/>
    </row>
    <row r="263" ht="11.25" customHeight="1">
      <c r="A263" s="3"/>
      <c r="B263" s="2"/>
      <c r="C263" s="3"/>
      <c r="D263" s="3"/>
      <c r="E263" s="3"/>
      <c r="F263" s="4"/>
      <c r="G263" s="4"/>
      <c r="H263" s="4"/>
      <c r="I263" s="5"/>
      <c r="J263" s="4"/>
      <c r="K263" s="4"/>
      <c r="L263" s="6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3"/>
      <c r="AL263" s="3"/>
      <c r="AM263" s="3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8"/>
      <c r="BU263" s="8"/>
      <c r="BV263" s="8"/>
      <c r="BW263" s="8"/>
      <c r="BX263" s="3"/>
      <c r="BY263" s="3"/>
      <c r="BZ263" s="3"/>
      <c r="CA263" s="8"/>
      <c r="CB263" s="8"/>
      <c r="CC263" s="8"/>
      <c r="CD263" s="8"/>
      <c r="CE263" s="8"/>
      <c r="CF263" s="8"/>
      <c r="CG263" s="9"/>
      <c r="CH263" s="8"/>
      <c r="CI263" s="8"/>
      <c r="CJ263" s="8"/>
      <c r="CK263" s="8"/>
      <c r="CL263" s="8"/>
      <c r="CM263" s="8"/>
      <c r="CN263" s="8"/>
      <c r="CO263" s="8"/>
      <c r="CP263" s="8"/>
      <c r="CQ263" s="9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9"/>
      <c r="DG263" s="9"/>
      <c r="DH263" s="10"/>
      <c r="DI263" s="9"/>
      <c r="DJ263" s="9"/>
      <c r="DK263" s="3"/>
      <c r="DL263" s="3"/>
      <c r="DM263" s="3"/>
    </row>
    <row r="264" ht="11.25" customHeight="1">
      <c r="A264" s="3"/>
      <c r="B264" s="2"/>
      <c r="C264" s="3"/>
      <c r="D264" s="3"/>
      <c r="E264" s="3"/>
      <c r="F264" s="4"/>
      <c r="G264" s="4"/>
      <c r="H264" s="4"/>
      <c r="I264" s="5"/>
      <c r="J264" s="4"/>
      <c r="K264" s="4"/>
      <c r="L264" s="6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3"/>
      <c r="AL264" s="3"/>
      <c r="AM264" s="3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8"/>
      <c r="BU264" s="8"/>
      <c r="BV264" s="8"/>
      <c r="BW264" s="8"/>
      <c r="BX264" s="3"/>
      <c r="BY264" s="3"/>
      <c r="BZ264" s="3"/>
      <c r="CA264" s="8"/>
      <c r="CB264" s="8"/>
      <c r="CC264" s="8"/>
      <c r="CD264" s="8"/>
      <c r="CE264" s="8"/>
      <c r="CF264" s="8"/>
      <c r="CG264" s="9"/>
      <c r="CH264" s="8"/>
      <c r="CI264" s="8"/>
      <c r="CJ264" s="8"/>
      <c r="CK264" s="8"/>
      <c r="CL264" s="8"/>
      <c r="CM264" s="8"/>
      <c r="CN264" s="8"/>
      <c r="CO264" s="8"/>
      <c r="CP264" s="8"/>
      <c r="CQ264" s="9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9"/>
      <c r="DG264" s="9"/>
      <c r="DH264" s="10"/>
      <c r="DI264" s="9"/>
      <c r="DJ264" s="9"/>
      <c r="DK264" s="3"/>
      <c r="DL264" s="3"/>
      <c r="DM264" s="3"/>
    </row>
    <row r="265" ht="11.25" customHeight="1">
      <c r="A265" s="3"/>
      <c r="B265" s="2"/>
      <c r="C265" s="3"/>
      <c r="D265" s="3"/>
      <c r="E265" s="3"/>
      <c r="F265" s="4"/>
      <c r="G265" s="4"/>
      <c r="H265" s="4"/>
      <c r="I265" s="5"/>
      <c r="J265" s="4"/>
      <c r="K265" s="4"/>
      <c r="L265" s="6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3"/>
      <c r="AL265" s="3"/>
      <c r="AM265" s="3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8"/>
      <c r="BU265" s="8"/>
      <c r="BV265" s="8"/>
      <c r="BW265" s="8"/>
      <c r="BX265" s="3"/>
      <c r="BY265" s="3"/>
      <c r="BZ265" s="3"/>
      <c r="CA265" s="8"/>
      <c r="CB265" s="8"/>
      <c r="CC265" s="8"/>
      <c r="CD265" s="8"/>
      <c r="CE265" s="8"/>
      <c r="CF265" s="8"/>
      <c r="CG265" s="9"/>
      <c r="CH265" s="8"/>
      <c r="CI265" s="8"/>
      <c r="CJ265" s="8"/>
      <c r="CK265" s="8"/>
      <c r="CL265" s="8"/>
      <c r="CM265" s="8"/>
      <c r="CN265" s="8"/>
      <c r="CO265" s="8"/>
      <c r="CP265" s="8"/>
      <c r="CQ265" s="9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9"/>
      <c r="DG265" s="9"/>
      <c r="DH265" s="10"/>
      <c r="DI265" s="9"/>
      <c r="DJ265" s="9"/>
      <c r="DK265" s="3"/>
      <c r="DL265" s="3"/>
      <c r="DM265" s="3"/>
    </row>
    <row r="266" ht="11.25" customHeight="1">
      <c r="A266" s="3"/>
      <c r="B266" s="2"/>
      <c r="C266" s="3"/>
      <c r="D266" s="3"/>
      <c r="E266" s="3"/>
      <c r="F266" s="4"/>
      <c r="G266" s="4"/>
      <c r="H266" s="4"/>
      <c r="I266" s="5"/>
      <c r="J266" s="4"/>
      <c r="K266" s="4"/>
      <c r="L266" s="6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3"/>
      <c r="AL266" s="3"/>
      <c r="AM266" s="3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8"/>
      <c r="BU266" s="8"/>
      <c r="BV266" s="8"/>
      <c r="BW266" s="8"/>
      <c r="BX266" s="3"/>
      <c r="BY266" s="3"/>
      <c r="BZ266" s="3"/>
      <c r="CA266" s="8"/>
      <c r="CB266" s="8"/>
      <c r="CC266" s="8"/>
      <c r="CD266" s="8"/>
      <c r="CE266" s="8"/>
      <c r="CF266" s="8"/>
      <c r="CG266" s="9"/>
      <c r="CH266" s="8"/>
      <c r="CI266" s="8"/>
      <c r="CJ266" s="8"/>
      <c r="CK266" s="8"/>
      <c r="CL266" s="8"/>
      <c r="CM266" s="8"/>
      <c r="CN266" s="8"/>
      <c r="CO266" s="8"/>
      <c r="CP266" s="8"/>
      <c r="CQ266" s="9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9"/>
      <c r="DG266" s="9"/>
      <c r="DH266" s="10"/>
      <c r="DI266" s="9"/>
      <c r="DJ266" s="9"/>
      <c r="DK266" s="3"/>
      <c r="DL266" s="3"/>
      <c r="DM266" s="3"/>
    </row>
    <row r="267" ht="11.25" customHeight="1">
      <c r="A267" s="3"/>
      <c r="B267" s="2"/>
      <c r="C267" s="3"/>
      <c r="D267" s="3"/>
      <c r="E267" s="3"/>
      <c r="F267" s="4"/>
      <c r="G267" s="4"/>
      <c r="H267" s="4"/>
      <c r="I267" s="5"/>
      <c r="J267" s="4"/>
      <c r="K267" s="4"/>
      <c r="L267" s="6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3"/>
      <c r="AL267" s="3"/>
      <c r="AM267" s="3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8"/>
      <c r="BU267" s="8"/>
      <c r="BV267" s="8"/>
      <c r="BW267" s="8"/>
      <c r="BX267" s="3"/>
      <c r="BY267" s="3"/>
      <c r="BZ267" s="3"/>
      <c r="CA267" s="8"/>
      <c r="CB267" s="8"/>
      <c r="CC267" s="8"/>
      <c r="CD267" s="8"/>
      <c r="CE267" s="8"/>
      <c r="CF267" s="8"/>
      <c r="CG267" s="9"/>
      <c r="CH267" s="8"/>
      <c r="CI267" s="8"/>
      <c r="CJ267" s="8"/>
      <c r="CK267" s="8"/>
      <c r="CL267" s="8"/>
      <c r="CM267" s="8"/>
      <c r="CN267" s="8"/>
      <c r="CO267" s="8"/>
      <c r="CP267" s="8"/>
      <c r="CQ267" s="9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9"/>
      <c r="DG267" s="9"/>
      <c r="DH267" s="10"/>
      <c r="DI267" s="9"/>
      <c r="DJ267" s="9"/>
      <c r="DK267" s="3"/>
      <c r="DL267" s="3"/>
      <c r="DM267" s="3"/>
    </row>
    <row r="268" ht="11.25" customHeight="1">
      <c r="A268" s="3"/>
      <c r="B268" s="2"/>
      <c r="C268" s="3"/>
      <c r="D268" s="3"/>
      <c r="E268" s="3"/>
      <c r="F268" s="4"/>
      <c r="G268" s="4"/>
      <c r="H268" s="4"/>
      <c r="I268" s="5"/>
      <c r="J268" s="4"/>
      <c r="K268" s="4"/>
      <c r="L268" s="6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3"/>
      <c r="AL268" s="3"/>
      <c r="AM268" s="3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8"/>
      <c r="BU268" s="8"/>
      <c r="BV268" s="8"/>
      <c r="BW268" s="8"/>
      <c r="BX268" s="3"/>
      <c r="BY268" s="3"/>
      <c r="BZ268" s="3"/>
      <c r="CA268" s="8"/>
      <c r="CB268" s="8"/>
      <c r="CC268" s="8"/>
      <c r="CD268" s="8"/>
      <c r="CE268" s="8"/>
      <c r="CF268" s="8"/>
      <c r="CG268" s="9"/>
      <c r="CH268" s="8"/>
      <c r="CI268" s="8"/>
      <c r="CJ268" s="8"/>
      <c r="CK268" s="8"/>
      <c r="CL268" s="8"/>
      <c r="CM268" s="8"/>
      <c r="CN268" s="8"/>
      <c r="CO268" s="8"/>
      <c r="CP268" s="8"/>
      <c r="CQ268" s="9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9"/>
      <c r="DG268" s="9"/>
      <c r="DH268" s="10"/>
      <c r="DI268" s="9"/>
      <c r="DJ268" s="9"/>
      <c r="DK268" s="3"/>
      <c r="DL268" s="3"/>
      <c r="DM268" s="3"/>
    </row>
    <row r="269" ht="11.25" customHeight="1">
      <c r="A269" s="3"/>
      <c r="B269" s="2"/>
      <c r="C269" s="3"/>
      <c r="D269" s="3"/>
      <c r="E269" s="3"/>
      <c r="F269" s="4"/>
      <c r="G269" s="4"/>
      <c r="H269" s="4"/>
      <c r="I269" s="5"/>
      <c r="J269" s="4"/>
      <c r="K269" s="4"/>
      <c r="L269" s="6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3"/>
      <c r="AL269" s="3"/>
      <c r="AM269" s="3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8"/>
      <c r="BU269" s="8"/>
      <c r="BV269" s="8"/>
      <c r="BW269" s="8"/>
      <c r="BX269" s="3"/>
      <c r="BY269" s="3"/>
      <c r="BZ269" s="3"/>
      <c r="CA269" s="8"/>
      <c r="CB269" s="8"/>
      <c r="CC269" s="8"/>
      <c r="CD269" s="8"/>
      <c r="CE269" s="8"/>
      <c r="CF269" s="8"/>
      <c r="CG269" s="9"/>
      <c r="CH269" s="8"/>
      <c r="CI269" s="8"/>
      <c r="CJ269" s="8"/>
      <c r="CK269" s="8"/>
      <c r="CL269" s="8"/>
      <c r="CM269" s="8"/>
      <c r="CN269" s="8"/>
      <c r="CO269" s="8"/>
      <c r="CP269" s="8"/>
      <c r="CQ269" s="9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9"/>
      <c r="DG269" s="9"/>
      <c r="DH269" s="10"/>
      <c r="DI269" s="9"/>
      <c r="DJ269" s="9"/>
      <c r="DK269" s="3"/>
      <c r="DL269" s="3"/>
      <c r="DM269" s="3"/>
    </row>
    <row r="270" ht="11.25" customHeight="1">
      <c r="A270" s="3"/>
      <c r="B270" s="2"/>
      <c r="C270" s="3"/>
      <c r="D270" s="3"/>
      <c r="E270" s="3"/>
      <c r="F270" s="4"/>
      <c r="G270" s="4"/>
      <c r="H270" s="4"/>
      <c r="I270" s="5"/>
      <c r="J270" s="4"/>
      <c r="K270" s="4"/>
      <c r="L270" s="6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3"/>
      <c r="AL270" s="3"/>
      <c r="AM270" s="3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8"/>
      <c r="BU270" s="8"/>
      <c r="BV270" s="8"/>
      <c r="BW270" s="8"/>
      <c r="BX270" s="3"/>
      <c r="BY270" s="3"/>
      <c r="BZ270" s="3"/>
      <c r="CA270" s="8"/>
      <c r="CB270" s="8"/>
      <c r="CC270" s="8"/>
      <c r="CD270" s="8"/>
      <c r="CE270" s="8"/>
      <c r="CF270" s="8"/>
      <c r="CG270" s="9"/>
      <c r="CH270" s="8"/>
      <c r="CI270" s="8"/>
      <c r="CJ270" s="8"/>
      <c r="CK270" s="8"/>
      <c r="CL270" s="8"/>
      <c r="CM270" s="8"/>
      <c r="CN270" s="8"/>
      <c r="CO270" s="8"/>
      <c r="CP270" s="8"/>
      <c r="CQ270" s="9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9"/>
      <c r="DG270" s="9"/>
      <c r="DH270" s="10"/>
      <c r="DI270" s="9"/>
      <c r="DJ270" s="9"/>
      <c r="DK270" s="3"/>
      <c r="DL270" s="3"/>
      <c r="DM270" s="3"/>
    </row>
    <row r="271" ht="11.25" customHeight="1">
      <c r="A271" s="3"/>
      <c r="B271" s="2"/>
      <c r="C271" s="3"/>
      <c r="D271" s="3"/>
      <c r="E271" s="3"/>
      <c r="F271" s="4"/>
      <c r="G271" s="4"/>
      <c r="H271" s="4"/>
      <c r="I271" s="5"/>
      <c r="J271" s="4"/>
      <c r="K271" s="4"/>
      <c r="L271" s="6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3"/>
      <c r="AL271" s="3"/>
      <c r="AM271" s="3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8"/>
      <c r="BU271" s="8"/>
      <c r="BV271" s="8"/>
      <c r="BW271" s="8"/>
      <c r="BX271" s="3"/>
      <c r="BY271" s="3"/>
      <c r="BZ271" s="3"/>
      <c r="CA271" s="8"/>
      <c r="CB271" s="8"/>
      <c r="CC271" s="8"/>
      <c r="CD271" s="8"/>
      <c r="CE271" s="8"/>
      <c r="CF271" s="8"/>
      <c r="CG271" s="9"/>
      <c r="CH271" s="8"/>
      <c r="CI271" s="8"/>
      <c r="CJ271" s="8"/>
      <c r="CK271" s="8"/>
      <c r="CL271" s="8"/>
      <c r="CM271" s="8"/>
      <c r="CN271" s="8"/>
      <c r="CO271" s="8"/>
      <c r="CP271" s="8"/>
      <c r="CQ271" s="9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9"/>
      <c r="DG271" s="9"/>
      <c r="DH271" s="10"/>
      <c r="DI271" s="9"/>
      <c r="DJ271" s="9"/>
      <c r="DK271" s="3"/>
      <c r="DL271" s="3"/>
      <c r="DM271" s="3"/>
    </row>
    <row r="272" ht="11.25" customHeight="1">
      <c r="A272" s="3"/>
      <c r="B272" s="2"/>
      <c r="C272" s="3"/>
      <c r="D272" s="3"/>
      <c r="E272" s="3"/>
      <c r="F272" s="4"/>
      <c r="G272" s="4"/>
      <c r="H272" s="4"/>
      <c r="I272" s="5"/>
      <c r="J272" s="4"/>
      <c r="K272" s="4"/>
      <c r="L272" s="6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3"/>
      <c r="AL272" s="3"/>
      <c r="AM272" s="3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8"/>
      <c r="BU272" s="8"/>
      <c r="BV272" s="8"/>
      <c r="BW272" s="8"/>
      <c r="BX272" s="3"/>
      <c r="BY272" s="3"/>
      <c r="BZ272" s="3"/>
      <c r="CA272" s="8"/>
      <c r="CB272" s="8"/>
      <c r="CC272" s="8"/>
      <c r="CD272" s="8"/>
      <c r="CE272" s="8"/>
      <c r="CF272" s="8"/>
      <c r="CG272" s="9"/>
      <c r="CH272" s="8"/>
      <c r="CI272" s="8"/>
      <c r="CJ272" s="8"/>
      <c r="CK272" s="8"/>
      <c r="CL272" s="8"/>
      <c r="CM272" s="8"/>
      <c r="CN272" s="8"/>
      <c r="CO272" s="8"/>
      <c r="CP272" s="8"/>
      <c r="CQ272" s="9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9"/>
      <c r="DG272" s="9"/>
      <c r="DH272" s="10"/>
      <c r="DI272" s="9"/>
      <c r="DJ272" s="9"/>
      <c r="DK272" s="3"/>
      <c r="DL272" s="3"/>
      <c r="DM272" s="3"/>
    </row>
    <row r="273" ht="11.25" customHeight="1">
      <c r="A273" s="3"/>
      <c r="B273" s="2"/>
      <c r="C273" s="3"/>
      <c r="D273" s="3"/>
      <c r="E273" s="3"/>
      <c r="F273" s="4"/>
      <c r="G273" s="4"/>
      <c r="H273" s="4"/>
      <c r="I273" s="5"/>
      <c r="J273" s="4"/>
      <c r="K273" s="4"/>
      <c r="L273" s="6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3"/>
      <c r="AL273" s="3"/>
      <c r="AM273" s="3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8"/>
      <c r="BU273" s="8"/>
      <c r="BV273" s="8"/>
      <c r="BW273" s="8"/>
      <c r="BX273" s="3"/>
      <c r="BY273" s="3"/>
      <c r="BZ273" s="3"/>
      <c r="CA273" s="8"/>
      <c r="CB273" s="8"/>
      <c r="CC273" s="8"/>
      <c r="CD273" s="8"/>
      <c r="CE273" s="8"/>
      <c r="CF273" s="8"/>
      <c r="CG273" s="9"/>
      <c r="CH273" s="8"/>
      <c r="CI273" s="8"/>
      <c r="CJ273" s="8"/>
      <c r="CK273" s="8"/>
      <c r="CL273" s="8"/>
      <c r="CM273" s="8"/>
      <c r="CN273" s="8"/>
      <c r="CO273" s="8"/>
      <c r="CP273" s="8"/>
      <c r="CQ273" s="9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9"/>
      <c r="DG273" s="9"/>
      <c r="DH273" s="10"/>
      <c r="DI273" s="9"/>
      <c r="DJ273" s="9"/>
      <c r="DK273" s="3"/>
      <c r="DL273" s="3"/>
      <c r="DM273" s="3"/>
    </row>
    <row r="274" ht="11.25" customHeight="1">
      <c r="A274" s="3"/>
      <c r="B274" s="2"/>
      <c r="C274" s="3"/>
      <c r="D274" s="3"/>
      <c r="E274" s="3"/>
      <c r="F274" s="4"/>
      <c r="G274" s="4"/>
      <c r="H274" s="4"/>
      <c r="I274" s="5"/>
      <c r="J274" s="4"/>
      <c r="K274" s="4"/>
      <c r="L274" s="6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3"/>
      <c r="AL274" s="3"/>
      <c r="AM274" s="3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8"/>
      <c r="BU274" s="8"/>
      <c r="BV274" s="8"/>
      <c r="BW274" s="8"/>
      <c r="BX274" s="3"/>
      <c r="BY274" s="3"/>
      <c r="BZ274" s="3"/>
      <c r="CA274" s="8"/>
      <c r="CB274" s="8"/>
      <c r="CC274" s="8"/>
      <c r="CD274" s="8"/>
      <c r="CE274" s="8"/>
      <c r="CF274" s="8"/>
      <c r="CG274" s="9"/>
      <c r="CH274" s="8"/>
      <c r="CI274" s="8"/>
      <c r="CJ274" s="8"/>
      <c r="CK274" s="8"/>
      <c r="CL274" s="8"/>
      <c r="CM274" s="8"/>
      <c r="CN274" s="8"/>
      <c r="CO274" s="8"/>
      <c r="CP274" s="8"/>
      <c r="CQ274" s="9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9"/>
      <c r="DG274" s="9"/>
      <c r="DH274" s="10"/>
      <c r="DI274" s="9"/>
      <c r="DJ274" s="9"/>
      <c r="DK274" s="3"/>
      <c r="DL274" s="3"/>
      <c r="DM274" s="3"/>
    </row>
    <row r="275" ht="11.25" customHeight="1">
      <c r="A275" s="3"/>
      <c r="B275" s="2"/>
      <c r="C275" s="3"/>
      <c r="D275" s="3"/>
      <c r="E275" s="3"/>
      <c r="F275" s="4"/>
      <c r="G275" s="4"/>
      <c r="H275" s="4"/>
      <c r="I275" s="5"/>
      <c r="J275" s="4"/>
      <c r="K275" s="4"/>
      <c r="L275" s="6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3"/>
      <c r="AL275" s="3"/>
      <c r="AM275" s="3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8"/>
      <c r="BU275" s="8"/>
      <c r="BV275" s="8"/>
      <c r="BW275" s="8"/>
      <c r="BX275" s="3"/>
      <c r="BY275" s="3"/>
      <c r="BZ275" s="3"/>
      <c r="CA275" s="8"/>
      <c r="CB275" s="8"/>
      <c r="CC275" s="8"/>
      <c r="CD275" s="8"/>
      <c r="CE275" s="8"/>
      <c r="CF275" s="8"/>
      <c r="CG275" s="9"/>
      <c r="CH275" s="8"/>
      <c r="CI275" s="8"/>
      <c r="CJ275" s="8"/>
      <c r="CK275" s="8"/>
      <c r="CL275" s="8"/>
      <c r="CM275" s="8"/>
      <c r="CN275" s="8"/>
      <c r="CO275" s="8"/>
      <c r="CP275" s="8"/>
      <c r="CQ275" s="9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9"/>
      <c r="DG275" s="9"/>
      <c r="DH275" s="10"/>
      <c r="DI275" s="9"/>
      <c r="DJ275" s="9"/>
      <c r="DK275" s="3"/>
      <c r="DL275" s="3"/>
      <c r="DM275" s="3"/>
    </row>
    <row r="276" ht="11.25" customHeight="1">
      <c r="A276" s="3"/>
      <c r="B276" s="2"/>
      <c r="C276" s="3"/>
      <c r="D276" s="3"/>
      <c r="E276" s="3"/>
      <c r="F276" s="4"/>
      <c r="G276" s="4"/>
      <c r="H276" s="4"/>
      <c r="I276" s="5"/>
      <c r="J276" s="4"/>
      <c r="K276" s="4"/>
      <c r="L276" s="6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3"/>
      <c r="AL276" s="3"/>
      <c r="AM276" s="3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8"/>
      <c r="BU276" s="8"/>
      <c r="BV276" s="8"/>
      <c r="BW276" s="8"/>
      <c r="BX276" s="3"/>
      <c r="BY276" s="3"/>
      <c r="BZ276" s="3"/>
      <c r="CA276" s="8"/>
      <c r="CB276" s="8"/>
      <c r="CC276" s="8"/>
      <c r="CD276" s="8"/>
      <c r="CE276" s="8"/>
      <c r="CF276" s="8"/>
      <c r="CG276" s="9"/>
      <c r="CH276" s="8"/>
      <c r="CI276" s="8"/>
      <c r="CJ276" s="8"/>
      <c r="CK276" s="8"/>
      <c r="CL276" s="8"/>
      <c r="CM276" s="8"/>
      <c r="CN276" s="8"/>
      <c r="CO276" s="8"/>
      <c r="CP276" s="8"/>
      <c r="CQ276" s="9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9"/>
      <c r="DG276" s="9"/>
      <c r="DH276" s="10"/>
      <c r="DI276" s="9"/>
      <c r="DJ276" s="9"/>
      <c r="DK276" s="3"/>
      <c r="DL276" s="3"/>
      <c r="DM276" s="3"/>
    </row>
    <row r="277" ht="11.25" customHeight="1">
      <c r="A277" s="3"/>
      <c r="B277" s="2"/>
      <c r="C277" s="3"/>
      <c r="D277" s="3"/>
      <c r="E277" s="3"/>
      <c r="F277" s="4"/>
      <c r="G277" s="4"/>
      <c r="H277" s="4"/>
      <c r="I277" s="5"/>
      <c r="J277" s="4"/>
      <c r="K277" s="4"/>
      <c r="L277" s="6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3"/>
      <c r="AL277" s="3"/>
      <c r="AM277" s="3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8"/>
      <c r="BU277" s="8"/>
      <c r="BV277" s="8"/>
      <c r="BW277" s="8"/>
      <c r="BX277" s="3"/>
      <c r="BY277" s="3"/>
      <c r="BZ277" s="3"/>
      <c r="CA277" s="8"/>
      <c r="CB277" s="8"/>
      <c r="CC277" s="8"/>
      <c r="CD277" s="8"/>
      <c r="CE277" s="8"/>
      <c r="CF277" s="8"/>
      <c r="CG277" s="9"/>
      <c r="CH277" s="8"/>
      <c r="CI277" s="8"/>
      <c r="CJ277" s="8"/>
      <c r="CK277" s="8"/>
      <c r="CL277" s="8"/>
      <c r="CM277" s="8"/>
      <c r="CN277" s="8"/>
      <c r="CO277" s="8"/>
      <c r="CP277" s="8"/>
      <c r="CQ277" s="9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9"/>
      <c r="DG277" s="9"/>
      <c r="DH277" s="10"/>
      <c r="DI277" s="9"/>
      <c r="DJ277" s="9"/>
      <c r="DK277" s="3"/>
      <c r="DL277" s="3"/>
      <c r="DM277" s="3"/>
    </row>
    <row r="278" ht="11.25" customHeight="1">
      <c r="A278" s="3"/>
      <c r="B278" s="2"/>
      <c r="C278" s="3"/>
      <c r="D278" s="3"/>
      <c r="E278" s="3"/>
      <c r="F278" s="4"/>
      <c r="G278" s="4"/>
      <c r="H278" s="4"/>
      <c r="I278" s="5"/>
      <c r="J278" s="4"/>
      <c r="K278" s="4"/>
      <c r="L278" s="6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3"/>
      <c r="AL278" s="3"/>
      <c r="AM278" s="3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8"/>
      <c r="BU278" s="8"/>
      <c r="BV278" s="8"/>
      <c r="BW278" s="8"/>
      <c r="BX278" s="3"/>
      <c r="BY278" s="3"/>
      <c r="BZ278" s="3"/>
      <c r="CA278" s="8"/>
      <c r="CB278" s="8"/>
      <c r="CC278" s="8"/>
      <c r="CD278" s="8"/>
      <c r="CE278" s="8"/>
      <c r="CF278" s="8"/>
      <c r="CG278" s="9"/>
      <c r="CH278" s="8"/>
      <c r="CI278" s="8"/>
      <c r="CJ278" s="8"/>
      <c r="CK278" s="8"/>
      <c r="CL278" s="8"/>
      <c r="CM278" s="8"/>
      <c r="CN278" s="8"/>
      <c r="CO278" s="8"/>
      <c r="CP278" s="8"/>
      <c r="CQ278" s="9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9"/>
      <c r="DG278" s="9"/>
      <c r="DH278" s="10"/>
      <c r="DI278" s="9"/>
      <c r="DJ278" s="9"/>
      <c r="DK278" s="3"/>
      <c r="DL278" s="3"/>
      <c r="DM278" s="3"/>
    </row>
    <row r="279" ht="11.25" customHeight="1">
      <c r="A279" s="3"/>
      <c r="B279" s="2"/>
      <c r="C279" s="3"/>
      <c r="D279" s="3"/>
      <c r="E279" s="3"/>
      <c r="F279" s="4"/>
      <c r="G279" s="4"/>
      <c r="H279" s="4"/>
      <c r="I279" s="5"/>
      <c r="J279" s="4"/>
      <c r="K279" s="4"/>
      <c r="L279" s="6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3"/>
      <c r="AL279" s="3"/>
      <c r="AM279" s="3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8"/>
      <c r="BU279" s="8"/>
      <c r="BV279" s="8"/>
      <c r="BW279" s="8"/>
      <c r="BX279" s="3"/>
      <c r="BY279" s="3"/>
      <c r="BZ279" s="3"/>
      <c r="CA279" s="8"/>
      <c r="CB279" s="8"/>
      <c r="CC279" s="8"/>
      <c r="CD279" s="8"/>
      <c r="CE279" s="8"/>
      <c r="CF279" s="8"/>
      <c r="CG279" s="9"/>
      <c r="CH279" s="8"/>
      <c r="CI279" s="8"/>
      <c r="CJ279" s="8"/>
      <c r="CK279" s="8"/>
      <c r="CL279" s="8"/>
      <c r="CM279" s="8"/>
      <c r="CN279" s="8"/>
      <c r="CO279" s="8"/>
      <c r="CP279" s="8"/>
      <c r="CQ279" s="9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9"/>
      <c r="DG279" s="9"/>
      <c r="DH279" s="10"/>
      <c r="DI279" s="9"/>
      <c r="DJ279" s="9"/>
      <c r="DK279" s="3"/>
      <c r="DL279" s="3"/>
      <c r="DM279" s="3"/>
    </row>
    <row r="280" ht="11.25" customHeight="1">
      <c r="A280" s="3"/>
      <c r="B280" s="2"/>
      <c r="C280" s="3"/>
      <c r="D280" s="3"/>
      <c r="E280" s="3"/>
      <c r="F280" s="4"/>
      <c r="G280" s="4"/>
      <c r="H280" s="4"/>
      <c r="I280" s="5"/>
      <c r="J280" s="4"/>
      <c r="K280" s="4"/>
      <c r="L280" s="6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3"/>
      <c r="AL280" s="3"/>
      <c r="AM280" s="3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8"/>
      <c r="BU280" s="8"/>
      <c r="BV280" s="8"/>
      <c r="BW280" s="8"/>
      <c r="BX280" s="3"/>
      <c r="BY280" s="3"/>
      <c r="BZ280" s="3"/>
      <c r="CA280" s="8"/>
      <c r="CB280" s="8"/>
      <c r="CC280" s="8"/>
      <c r="CD280" s="8"/>
      <c r="CE280" s="8"/>
      <c r="CF280" s="8"/>
      <c r="CG280" s="9"/>
      <c r="CH280" s="8"/>
      <c r="CI280" s="8"/>
      <c r="CJ280" s="8"/>
      <c r="CK280" s="8"/>
      <c r="CL280" s="8"/>
      <c r="CM280" s="8"/>
      <c r="CN280" s="8"/>
      <c r="CO280" s="8"/>
      <c r="CP280" s="8"/>
      <c r="CQ280" s="9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9"/>
      <c r="DG280" s="9"/>
      <c r="DH280" s="10"/>
      <c r="DI280" s="9"/>
      <c r="DJ280" s="9"/>
      <c r="DK280" s="3"/>
      <c r="DL280" s="3"/>
      <c r="DM280" s="3"/>
    </row>
    <row r="281" ht="11.25" customHeight="1">
      <c r="A281" s="3"/>
      <c r="B281" s="2"/>
      <c r="C281" s="3"/>
      <c r="D281" s="3"/>
      <c r="E281" s="3"/>
      <c r="F281" s="4"/>
      <c r="G281" s="4"/>
      <c r="H281" s="4"/>
      <c r="I281" s="5"/>
      <c r="J281" s="4"/>
      <c r="K281" s="4"/>
      <c r="L281" s="6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3"/>
      <c r="AL281" s="3"/>
      <c r="AM281" s="3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8"/>
      <c r="BU281" s="8"/>
      <c r="BV281" s="8"/>
      <c r="BW281" s="8"/>
      <c r="BX281" s="3"/>
      <c r="BY281" s="3"/>
      <c r="BZ281" s="3"/>
      <c r="CA281" s="8"/>
      <c r="CB281" s="8"/>
      <c r="CC281" s="8"/>
      <c r="CD281" s="8"/>
      <c r="CE281" s="8"/>
      <c r="CF281" s="8"/>
      <c r="CG281" s="9"/>
      <c r="CH281" s="8"/>
      <c r="CI281" s="8"/>
      <c r="CJ281" s="8"/>
      <c r="CK281" s="8"/>
      <c r="CL281" s="8"/>
      <c r="CM281" s="8"/>
      <c r="CN281" s="8"/>
      <c r="CO281" s="8"/>
      <c r="CP281" s="8"/>
      <c r="CQ281" s="9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9"/>
      <c r="DG281" s="9"/>
      <c r="DH281" s="10"/>
      <c r="DI281" s="9"/>
      <c r="DJ281" s="9"/>
      <c r="DK281" s="3"/>
      <c r="DL281" s="3"/>
      <c r="DM281" s="3"/>
    </row>
    <row r="282" ht="11.25" customHeight="1">
      <c r="A282" s="3"/>
      <c r="B282" s="2"/>
      <c r="C282" s="3"/>
      <c r="D282" s="3"/>
      <c r="E282" s="3"/>
      <c r="F282" s="4"/>
      <c r="G282" s="4"/>
      <c r="H282" s="4"/>
      <c r="I282" s="5"/>
      <c r="J282" s="4"/>
      <c r="K282" s="4"/>
      <c r="L282" s="6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3"/>
      <c r="AL282" s="3"/>
      <c r="AM282" s="3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8"/>
      <c r="BU282" s="8"/>
      <c r="BV282" s="8"/>
      <c r="BW282" s="8"/>
      <c r="BX282" s="3"/>
      <c r="BY282" s="3"/>
      <c r="BZ282" s="3"/>
      <c r="CA282" s="8"/>
      <c r="CB282" s="8"/>
      <c r="CC282" s="8"/>
      <c r="CD282" s="8"/>
      <c r="CE282" s="8"/>
      <c r="CF282" s="8"/>
      <c r="CG282" s="9"/>
      <c r="CH282" s="8"/>
      <c r="CI282" s="8"/>
      <c r="CJ282" s="8"/>
      <c r="CK282" s="8"/>
      <c r="CL282" s="8"/>
      <c r="CM282" s="8"/>
      <c r="CN282" s="8"/>
      <c r="CO282" s="8"/>
      <c r="CP282" s="8"/>
      <c r="CQ282" s="9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9"/>
      <c r="DG282" s="9"/>
      <c r="DH282" s="10"/>
      <c r="DI282" s="9"/>
      <c r="DJ282" s="9"/>
      <c r="DK282" s="3"/>
      <c r="DL282" s="3"/>
      <c r="DM282" s="3"/>
    </row>
    <row r="283" ht="11.25" customHeight="1">
      <c r="A283" s="3"/>
      <c r="B283" s="2"/>
      <c r="C283" s="3"/>
      <c r="D283" s="3"/>
      <c r="E283" s="3"/>
      <c r="F283" s="4"/>
      <c r="G283" s="4"/>
      <c r="H283" s="4"/>
      <c r="I283" s="5"/>
      <c r="J283" s="4"/>
      <c r="K283" s="4"/>
      <c r="L283" s="6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3"/>
      <c r="AL283" s="3"/>
      <c r="AM283" s="3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8"/>
      <c r="BU283" s="8"/>
      <c r="BV283" s="8"/>
      <c r="BW283" s="8"/>
      <c r="BX283" s="3"/>
      <c r="BY283" s="3"/>
      <c r="BZ283" s="3"/>
      <c r="CA283" s="8"/>
      <c r="CB283" s="8"/>
      <c r="CC283" s="8"/>
      <c r="CD283" s="8"/>
      <c r="CE283" s="8"/>
      <c r="CF283" s="8"/>
      <c r="CG283" s="9"/>
      <c r="CH283" s="8"/>
      <c r="CI283" s="8"/>
      <c r="CJ283" s="8"/>
      <c r="CK283" s="8"/>
      <c r="CL283" s="8"/>
      <c r="CM283" s="8"/>
      <c r="CN283" s="8"/>
      <c r="CO283" s="8"/>
      <c r="CP283" s="8"/>
      <c r="CQ283" s="9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9"/>
      <c r="DG283" s="9"/>
      <c r="DH283" s="10"/>
      <c r="DI283" s="9"/>
      <c r="DJ283" s="9"/>
      <c r="DK283" s="3"/>
      <c r="DL283" s="3"/>
      <c r="DM283" s="3"/>
    </row>
    <row r="284" ht="11.25" customHeight="1">
      <c r="A284" s="3"/>
      <c r="B284" s="2"/>
      <c r="C284" s="3"/>
      <c r="D284" s="3"/>
      <c r="E284" s="3"/>
      <c r="F284" s="4"/>
      <c r="G284" s="4"/>
      <c r="H284" s="4"/>
      <c r="I284" s="5"/>
      <c r="J284" s="4"/>
      <c r="K284" s="4"/>
      <c r="L284" s="6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3"/>
      <c r="AL284" s="3"/>
      <c r="AM284" s="3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8"/>
      <c r="BU284" s="8"/>
      <c r="BV284" s="8"/>
      <c r="BW284" s="8"/>
      <c r="BX284" s="3"/>
      <c r="BY284" s="3"/>
      <c r="BZ284" s="3"/>
      <c r="CA284" s="8"/>
      <c r="CB284" s="8"/>
      <c r="CC284" s="8"/>
      <c r="CD284" s="8"/>
      <c r="CE284" s="8"/>
      <c r="CF284" s="8"/>
      <c r="CG284" s="9"/>
      <c r="CH284" s="8"/>
      <c r="CI284" s="8"/>
      <c r="CJ284" s="8"/>
      <c r="CK284" s="8"/>
      <c r="CL284" s="8"/>
      <c r="CM284" s="8"/>
      <c r="CN284" s="8"/>
      <c r="CO284" s="8"/>
      <c r="CP284" s="8"/>
      <c r="CQ284" s="9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9"/>
      <c r="DG284" s="9"/>
      <c r="DH284" s="10"/>
      <c r="DI284" s="9"/>
      <c r="DJ284" s="9"/>
      <c r="DK284" s="3"/>
      <c r="DL284" s="3"/>
      <c r="DM284" s="3"/>
    </row>
    <row r="285" ht="11.25" customHeight="1">
      <c r="A285" s="3"/>
      <c r="B285" s="2"/>
      <c r="C285" s="3"/>
      <c r="D285" s="3"/>
      <c r="E285" s="3"/>
      <c r="F285" s="4"/>
      <c r="G285" s="4"/>
      <c r="H285" s="4"/>
      <c r="I285" s="5"/>
      <c r="J285" s="4"/>
      <c r="K285" s="4"/>
      <c r="L285" s="6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3"/>
      <c r="AL285" s="3"/>
      <c r="AM285" s="3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8"/>
      <c r="BU285" s="8"/>
      <c r="BV285" s="8"/>
      <c r="BW285" s="8"/>
      <c r="BX285" s="3"/>
      <c r="BY285" s="3"/>
      <c r="BZ285" s="3"/>
      <c r="CA285" s="8"/>
      <c r="CB285" s="8"/>
      <c r="CC285" s="8"/>
      <c r="CD285" s="8"/>
      <c r="CE285" s="8"/>
      <c r="CF285" s="8"/>
      <c r="CG285" s="9"/>
      <c r="CH285" s="8"/>
      <c r="CI285" s="8"/>
      <c r="CJ285" s="8"/>
      <c r="CK285" s="8"/>
      <c r="CL285" s="8"/>
      <c r="CM285" s="8"/>
      <c r="CN285" s="8"/>
      <c r="CO285" s="8"/>
      <c r="CP285" s="8"/>
      <c r="CQ285" s="9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9"/>
      <c r="DG285" s="9"/>
      <c r="DH285" s="10"/>
      <c r="DI285" s="9"/>
      <c r="DJ285" s="9"/>
      <c r="DK285" s="3"/>
      <c r="DL285" s="3"/>
      <c r="DM285" s="3"/>
    </row>
    <row r="286" ht="11.25" customHeight="1">
      <c r="A286" s="3"/>
      <c r="B286" s="2"/>
      <c r="C286" s="3"/>
      <c r="D286" s="3"/>
      <c r="E286" s="3"/>
      <c r="F286" s="4"/>
      <c r="G286" s="4"/>
      <c r="H286" s="4"/>
      <c r="I286" s="5"/>
      <c r="J286" s="4"/>
      <c r="K286" s="4"/>
      <c r="L286" s="6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3"/>
      <c r="AL286" s="3"/>
      <c r="AM286" s="3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8"/>
      <c r="BU286" s="8"/>
      <c r="BV286" s="8"/>
      <c r="BW286" s="8"/>
      <c r="BX286" s="3"/>
      <c r="BY286" s="3"/>
      <c r="BZ286" s="3"/>
      <c r="CA286" s="8"/>
      <c r="CB286" s="8"/>
      <c r="CC286" s="8"/>
      <c r="CD286" s="8"/>
      <c r="CE286" s="8"/>
      <c r="CF286" s="8"/>
      <c r="CG286" s="9"/>
      <c r="CH286" s="8"/>
      <c r="CI286" s="8"/>
      <c r="CJ286" s="8"/>
      <c r="CK286" s="8"/>
      <c r="CL286" s="8"/>
      <c r="CM286" s="8"/>
      <c r="CN286" s="8"/>
      <c r="CO286" s="8"/>
      <c r="CP286" s="8"/>
      <c r="CQ286" s="9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9"/>
      <c r="DG286" s="9"/>
      <c r="DH286" s="10"/>
      <c r="DI286" s="9"/>
      <c r="DJ286" s="9"/>
      <c r="DK286" s="3"/>
      <c r="DL286" s="3"/>
      <c r="DM286" s="3"/>
    </row>
    <row r="287" ht="11.25" customHeight="1">
      <c r="A287" s="3"/>
      <c r="B287" s="2"/>
      <c r="C287" s="3"/>
      <c r="D287" s="3"/>
      <c r="E287" s="3"/>
      <c r="F287" s="4"/>
      <c r="G287" s="4"/>
      <c r="H287" s="4"/>
      <c r="I287" s="5"/>
      <c r="J287" s="4"/>
      <c r="K287" s="4"/>
      <c r="L287" s="6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3"/>
      <c r="AL287" s="3"/>
      <c r="AM287" s="3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8"/>
      <c r="BU287" s="8"/>
      <c r="BV287" s="8"/>
      <c r="BW287" s="8"/>
      <c r="BX287" s="3"/>
      <c r="BY287" s="3"/>
      <c r="BZ287" s="3"/>
      <c r="CA287" s="8"/>
      <c r="CB287" s="8"/>
      <c r="CC287" s="8"/>
      <c r="CD287" s="8"/>
      <c r="CE287" s="8"/>
      <c r="CF287" s="8"/>
      <c r="CG287" s="9"/>
      <c r="CH287" s="8"/>
      <c r="CI287" s="8"/>
      <c r="CJ287" s="8"/>
      <c r="CK287" s="8"/>
      <c r="CL287" s="8"/>
      <c r="CM287" s="8"/>
      <c r="CN287" s="8"/>
      <c r="CO287" s="8"/>
      <c r="CP287" s="8"/>
      <c r="CQ287" s="9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9"/>
      <c r="DG287" s="9"/>
      <c r="DH287" s="10"/>
      <c r="DI287" s="9"/>
      <c r="DJ287" s="9"/>
      <c r="DK287" s="3"/>
      <c r="DL287" s="3"/>
      <c r="DM287" s="3"/>
    </row>
    <row r="288" ht="11.25" customHeight="1">
      <c r="A288" s="3"/>
      <c r="B288" s="2"/>
      <c r="C288" s="3"/>
      <c r="D288" s="3"/>
      <c r="E288" s="3"/>
      <c r="F288" s="4"/>
      <c r="G288" s="4"/>
      <c r="H288" s="4"/>
      <c r="I288" s="5"/>
      <c r="J288" s="4"/>
      <c r="K288" s="4"/>
      <c r="L288" s="6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3"/>
      <c r="AL288" s="3"/>
      <c r="AM288" s="3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8"/>
      <c r="BU288" s="8"/>
      <c r="BV288" s="8"/>
      <c r="BW288" s="8"/>
      <c r="BX288" s="3"/>
      <c r="BY288" s="3"/>
      <c r="BZ288" s="3"/>
      <c r="CA288" s="8"/>
      <c r="CB288" s="8"/>
      <c r="CC288" s="8"/>
      <c r="CD288" s="8"/>
      <c r="CE288" s="8"/>
      <c r="CF288" s="8"/>
      <c r="CG288" s="9"/>
      <c r="CH288" s="8"/>
      <c r="CI288" s="8"/>
      <c r="CJ288" s="8"/>
      <c r="CK288" s="8"/>
      <c r="CL288" s="8"/>
      <c r="CM288" s="8"/>
      <c r="CN288" s="8"/>
      <c r="CO288" s="8"/>
      <c r="CP288" s="8"/>
      <c r="CQ288" s="9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9"/>
      <c r="DG288" s="9"/>
      <c r="DH288" s="10"/>
      <c r="DI288" s="9"/>
      <c r="DJ288" s="9"/>
      <c r="DK288" s="3"/>
      <c r="DL288" s="3"/>
      <c r="DM288" s="3"/>
    </row>
    <row r="289" ht="11.25" customHeight="1">
      <c r="A289" s="3"/>
      <c r="B289" s="2"/>
      <c r="C289" s="3"/>
      <c r="D289" s="3"/>
      <c r="E289" s="3"/>
      <c r="F289" s="4"/>
      <c r="G289" s="4"/>
      <c r="H289" s="4"/>
      <c r="I289" s="5"/>
      <c r="J289" s="4"/>
      <c r="K289" s="4"/>
      <c r="L289" s="6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3"/>
      <c r="AL289" s="3"/>
      <c r="AM289" s="3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8"/>
      <c r="BU289" s="8"/>
      <c r="BV289" s="8"/>
      <c r="BW289" s="8"/>
      <c r="BX289" s="3"/>
      <c r="BY289" s="3"/>
      <c r="BZ289" s="3"/>
      <c r="CA289" s="8"/>
      <c r="CB289" s="8"/>
      <c r="CC289" s="8"/>
      <c r="CD289" s="8"/>
      <c r="CE289" s="8"/>
      <c r="CF289" s="8"/>
      <c r="CG289" s="9"/>
      <c r="CH289" s="8"/>
      <c r="CI289" s="8"/>
      <c r="CJ289" s="8"/>
      <c r="CK289" s="8"/>
      <c r="CL289" s="8"/>
      <c r="CM289" s="8"/>
      <c r="CN289" s="8"/>
      <c r="CO289" s="8"/>
      <c r="CP289" s="8"/>
      <c r="CQ289" s="9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9"/>
      <c r="DG289" s="9"/>
      <c r="DH289" s="10"/>
      <c r="DI289" s="9"/>
      <c r="DJ289" s="9"/>
      <c r="DK289" s="3"/>
      <c r="DL289" s="3"/>
      <c r="DM289" s="3"/>
    </row>
    <row r="290" ht="11.25" customHeight="1">
      <c r="A290" s="3"/>
      <c r="B290" s="2"/>
      <c r="C290" s="3"/>
      <c r="D290" s="3"/>
      <c r="E290" s="3"/>
      <c r="F290" s="4"/>
      <c r="G290" s="4"/>
      <c r="H290" s="4"/>
      <c r="I290" s="5"/>
      <c r="J290" s="4"/>
      <c r="K290" s="4"/>
      <c r="L290" s="6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3"/>
      <c r="AL290" s="3"/>
      <c r="AM290" s="3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8"/>
      <c r="BU290" s="8"/>
      <c r="BV290" s="8"/>
      <c r="BW290" s="8"/>
      <c r="BX290" s="3"/>
      <c r="BY290" s="3"/>
      <c r="BZ290" s="3"/>
      <c r="CA290" s="8"/>
      <c r="CB290" s="8"/>
      <c r="CC290" s="8"/>
      <c r="CD290" s="8"/>
      <c r="CE290" s="8"/>
      <c r="CF290" s="8"/>
      <c r="CG290" s="9"/>
      <c r="CH290" s="8"/>
      <c r="CI290" s="8"/>
      <c r="CJ290" s="8"/>
      <c r="CK290" s="8"/>
      <c r="CL290" s="8"/>
      <c r="CM290" s="8"/>
      <c r="CN290" s="8"/>
      <c r="CO290" s="8"/>
      <c r="CP290" s="8"/>
      <c r="CQ290" s="9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9"/>
      <c r="DG290" s="9"/>
      <c r="DH290" s="10"/>
      <c r="DI290" s="9"/>
      <c r="DJ290" s="9"/>
      <c r="DK290" s="3"/>
      <c r="DL290" s="3"/>
      <c r="DM290" s="3"/>
    </row>
    <row r="291" ht="11.25" customHeight="1">
      <c r="A291" s="3"/>
      <c r="B291" s="2"/>
      <c r="C291" s="3"/>
      <c r="D291" s="3"/>
      <c r="E291" s="3"/>
      <c r="F291" s="4"/>
      <c r="G291" s="4"/>
      <c r="H291" s="4"/>
      <c r="I291" s="5"/>
      <c r="J291" s="4"/>
      <c r="K291" s="4"/>
      <c r="L291" s="6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3"/>
      <c r="AL291" s="3"/>
      <c r="AM291" s="3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8"/>
      <c r="BU291" s="8"/>
      <c r="BV291" s="8"/>
      <c r="BW291" s="8"/>
      <c r="BX291" s="3"/>
      <c r="BY291" s="3"/>
      <c r="BZ291" s="3"/>
      <c r="CA291" s="8"/>
      <c r="CB291" s="8"/>
      <c r="CC291" s="8"/>
      <c r="CD291" s="8"/>
      <c r="CE291" s="8"/>
      <c r="CF291" s="8"/>
      <c r="CG291" s="9"/>
      <c r="CH291" s="8"/>
      <c r="CI291" s="8"/>
      <c r="CJ291" s="8"/>
      <c r="CK291" s="8"/>
      <c r="CL291" s="8"/>
      <c r="CM291" s="8"/>
      <c r="CN291" s="8"/>
      <c r="CO291" s="8"/>
      <c r="CP291" s="8"/>
      <c r="CQ291" s="9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9"/>
      <c r="DG291" s="9"/>
      <c r="DH291" s="10"/>
      <c r="DI291" s="9"/>
      <c r="DJ291" s="9"/>
      <c r="DK291" s="3"/>
      <c r="DL291" s="3"/>
      <c r="DM291" s="3"/>
    </row>
    <row r="292" ht="11.25" customHeight="1">
      <c r="A292" s="3"/>
      <c r="B292" s="2"/>
      <c r="C292" s="3"/>
      <c r="D292" s="3"/>
      <c r="E292" s="3"/>
      <c r="F292" s="4"/>
      <c r="G292" s="4"/>
      <c r="H292" s="4"/>
      <c r="I292" s="5"/>
      <c r="J292" s="4"/>
      <c r="K292" s="4"/>
      <c r="L292" s="6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3"/>
      <c r="AL292" s="3"/>
      <c r="AM292" s="3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8"/>
      <c r="BU292" s="8"/>
      <c r="BV292" s="8"/>
      <c r="BW292" s="8"/>
      <c r="BX292" s="3"/>
      <c r="BY292" s="3"/>
      <c r="BZ292" s="3"/>
      <c r="CA292" s="8"/>
      <c r="CB292" s="8"/>
      <c r="CC292" s="8"/>
      <c r="CD292" s="8"/>
      <c r="CE292" s="8"/>
      <c r="CF292" s="8"/>
      <c r="CG292" s="9"/>
      <c r="CH292" s="8"/>
      <c r="CI292" s="8"/>
      <c r="CJ292" s="8"/>
      <c r="CK292" s="8"/>
      <c r="CL292" s="8"/>
      <c r="CM292" s="8"/>
      <c r="CN292" s="8"/>
      <c r="CO292" s="8"/>
      <c r="CP292" s="8"/>
      <c r="CQ292" s="9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9"/>
      <c r="DG292" s="9"/>
      <c r="DH292" s="10"/>
      <c r="DI292" s="9"/>
      <c r="DJ292" s="9"/>
      <c r="DK292" s="3"/>
      <c r="DL292" s="3"/>
      <c r="DM292" s="3"/>
    </row>
    <row r="293" ht="11.25" customHeight="1">
      <c r="A293" s="3"/>
      <c r="B293" s="2"/>
      <c r="C293" s="3"/>
      <c r="D293" s="3"/>
      <c r="E293" s="3"/>
      <c r="F293" s="4"/>
      <c r="G293" s="4"/>
      <c r="H293" s="4"/>
      <c r="I293" s="5"/>
      <c r="J293" s="4"/>
      <c r="K293" s="4"/>
      <c r="L293" s="6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3"/>
      <c r="AL293" s="3"/>
      <c r="AM293" s="3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8"/>
      <c r="BU293" s="8"/>
      <c r="BV293" s="8"/>
      <c r="BW293" s="8"/>
      <c r="BX293" s="3"/>
      <c r="BY293" s="3"/>
      <c r="BZ293" s="3"/>
      <c r="CA293" s="8"/>
      <c r="CB293" s="8"/>
      <c r="CC293" s="8"/>
      <c r="CD293" s="8"/>
      <c r="CE293" s="8"/>
      <c r="CF293" s="8"/>
      <c r="CG293" s="9"/>
      <c r="CH293" s="8"/>
      <c r="CI293" s="8"/>
      <c r="CJ293" s="8"/>
      <c r="CK293" s="8"/>
      <c r="CL293" s="8"/>
      <c r="CM293" s="8"/>
      <c r="CN293" s="8"/>
      <c r="CO293" s="8"/>
      <c r="CP293" s="8"/>
      <c r="CQ293" s="9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9"/>
      <c r="DG293" s="9"/>
      <c r="DH293" s="10"/>
      <c r="DI293" s="9"/>
      <c r="DJ293" s="9"/>
      <c r="DK293" s="3"/>
      <c r="DL293" s="3"/>
      <c r="DM293" s="3"/>
    </row>
    <row r="294" ht="11.25" customHeight="1">
      <c r="A294" s="3"/>
      <c r="B294" s="2"/>
      <c r="C294" s="3"/>
      <c r="D294" s="3"/>
      <c r="E294" s="3"/>
      <c r="F294" s="4"/>
      <c r="G294" s="4"/>
      <c r="H294" s="4"/>
      <c r="I294" s="5"/>
      <c r="J294" s="4"/>
      <c r="K294" s="4"/>
      <c r="L294" s="6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3"/>
      <c r="AL294" s="3"/>
      <c r="AM294" s="3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8"/>
      <c r="BU294" s="8"/>
      <c r="BV294" s="8"/>
      <c r="BW294" s="8"/>
      <c r="BX294" s="3"/>
      <c r="BY294" s="3"/>
      <c r="BZ294" s="3"/>
      <c r="CA294" s="8"/>
      <c r="CB294" s="8"/>
      <c r="CC294" s="8"/>
      <c r="CD294" s="8"/>
      <c r="CE294" s="8"/>
      <c r="CF294" s="8"/>
      <c r="CG294" s="9"/>
      <c r="CH294" s="8"/>
      <c r="CI294" s="8"/>
      <c r="CJ294" s="8"/>
      <c r="CK294" s="8"/>
      <c r="CL294" s="8"/>
      <c r="CM294" s="8"/>
      <c r="CN294" s="8"/>
      <c r="CO294" s="8"/>
      <c r="CP294" s="8"/>
      <c r="CQ294" s="9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9"/>
      <c r="DG294" s="9"/>
      <c r="DH294" s="10"/>
      <c r="DI294" s="9"/>
      <c r="DJ294" s="9"/>
      <c r="DK294" s="3"/>
      <c r="DL294" s="3"/>
      <c r="DM294" s="3"/>
    </row>
    <row r="295" ht="11.25" customHeight="1">
      <c r="A295" s="3"/>
      <c r="B295" s="2"/>
      <c r="C295" s="3"/>
      <c r="D295" s="3"/>
      <c r="E295" s="3"/>
      <c r="F295" s="4"/>
      <c r="G295" s="4"/>
      <c r="H295" s="4"/>
      <c r="I295" s="5"/>
      <c r="J295" s="4"/>
      <c r="K295" s="4"/>
      <c r="L295" s="6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3"/>
      <c r="AL295" s="3"/>
      <c r="AM295" s="3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8"/>
      <c r="BU295" s="8"/>
      <c r="BV295" s="8"/>
      <c r="BW295" s="8"/>
      <c r="BX295" s="3"/>
      <c r="BY295" s="3"/>
      <c r="BZ295" s="3"/>
      <c r="CA295" s="8"/>
      <c r="CB295" s="8"/>
      <c r="CC295" s="8"/>
      <c r="CD295" s="8"/>
      <c r="CE295" s="8"/>
      <c r="CF295" s="8"/>
      <c r="CG295" s="9"/>
      <c r="CH295" s="8"/>
      <c r="CI295" s="8"/>
      <c r="CJ295" s="8"/>
      <c r="CK295" s="8"/>
      <c r="CL295" s="8"/>
      <c r="CM295" s="8"/>
      <c r="CN295" s="8"/>
      <c r="CO295" s="8"/>
      <c r="CP295" s="8"/>
      <c r="CQ295" s="9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9"/>
      <c r="DG295" s="9"/>
      <c r="DH295" s="10"/>
      <c r="DI295" s="9"/>
      <c r="DJ295" s="9"/>
      <c r="DK295" s="3"/>
      <c r="DL295" s="3"/>
      <c r="DM295" s="3"/>
    </row>
    <row r="296" ht="11.25" customHeight="1">
      <c r="A296" s="3"/>
      <c r="B296" s="2"/>
      <c r="C296" s="3"/>
      <c r="D296" s="3"/>
      <c r="E296" s="3"/>
      <c r="F296" s="4"/>
      <c r="G296" s="4"/>
      <c r="H296" s="4"/>
      <c r="I296" s="5"/>
      <c r="J296" s="4"/>
      <c r="K296" s="4"/>
      <c r="L296" s="6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3"/>
      <c r="AL296" s="3"/>
      <c r="AM296" s="3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8"/>
      <c r="BU296" s="8"/>
      <c r="BV296" s="8"/>
      <c r="BW296" s="8"/>
      <c r="BX296" s="3"/>
      <c r="BY296" s="3"/>
      <c r="BZ296" s="3"/>
      <c r="CA296" s="8"/>
      <c r="CB296" s="8"/>
      <c r="CC296" s="8"/>
      <c r="CD296" s="8"/>
      <c r="CE296" s="8"/>
      <c r="CF296" s="8"/>
      <c r="CG296" s="9"/>
      <c r="CH296" s="8"/>
      <c r="CI296" s="8"/>
      <c r="CJ296" s="8"/>
      <c r="CK296" s="8"/>
      <c r="CL296" s="8"/>
      <c r="CM296" s="8"/>
      <c r="CN296" s="8"/>
      <c r="CO296" s="8"/>
      <c r="CP296" s="8"/>
      <c r="CQ296" s="9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9"/>
      <c r="DG296" s="9"/>
      <c r="DH296" s="10"/>
      <c r="DI296" s="9"/>
      <c r="DJ296" s="9"/>
      <c r="DK296" s="3"/>
      <c r="DL296" s="3"/>
      <c r="DM296" s="3"/>
    </row>
    <row r="297" ht="11.25" customHeight="1">
      <c r="A297" s="3"/>
      <c r="B297" s="2"/>
      <c r="C297" s="3"/>
      <c r="D297" s="3"/>
      <c r="E297" s="3"/>
      <c r="F297" s="4"/>
      <c r="G297" s="4"/>
      <c r="H297" s="4"/>
      <c r="I297" s="5"/>
      <c r="J297" s="4"/>
      <c r="K297" s="4"/>
      <c r="L297" s="6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3"/>
      <c r="AL297" s="3"/>
      <c r="AM297" s="3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8"/>
      <c r="BU297" s="8"/>
      <c r="BV297" s="8"/>
      <c r="BW297" s="8"/>
      <c r="BX297" s="3"/>
      <c r="BY297" s="3"/>
      <c r="BZ297" s="3"/>
      <c r="CA297" s="8"/>
      <c r="CB297" s="8"/>
      <c r="CC297" s="8"/>
      <c r="CD297" s="8"/>
      <c r="CE297" s="8"/>
      <c r="CF297" s="8"/>
      <c r="CG297" s="9"/>
      <c r="CH297" s="8"/>
      <c r="CI297" s="8"/>
      <c r="CJ297" s="8"/>
      <c r="CK297" s="8"/>
      <c r="CL297" s="8"/>
      <c r="CM297" s="8"/>
      <c r="CN297" s="8"/>
      <c r="CO297" s="8"/>
      <c r="CP297" s="8"/>
      <c r="CQ297" s="9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9"/>
      <c r="DG297" s="9"/>
      <c r="DH297" s="10"/>
      <c r="DI297" s="9"/>
      <c r="DJ297" s="9"/>
      <c r="DK297" s="3"/>
      <c r="DL297" s="3"/>
      <c r="DM297" s="3"/>
    </row>
    <row r="298" ht="11.25" customHeight="1">
      <c r="A298" s="3"/>
      <c r="B298" s="2"/>
      <c r="C298" s="3"/>
      <c r="D298" s="3"/>
      <c r="E298" s="3"/>
      <c r="F298" s="4"/>
      <c r="G298" s="4"/>
      <c r="H298" s="4"/>
      <c r="I298" s="5"/>
      <c r="J298" s="4"/>
      <c r="K298" s="4"/>
      <c r="L298" s="6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3"/>
      <c r="AL298" s="3"/>
      <c r="AM298" s="3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8"/>
      <c r="BU298" s="8"/>
      <c r="BV298" s="8"/>
      <c r="BW298" s="8"/>
      <c r="BX298" s="3"/>
      <c r="BY298" s="3"/>
      <c r="BZ298" s="3"/>
      <c r="CA298" s="8"/>
      <c r="CB298" s="8"/>
      <c r="CC298" s="8"/>
      <c r="CD298" s="8"/>
      <c r="CE298" s="8"/>
      <c r="CF298" s="8"/>
      <c r="CG298" s="9"/>
      <c r="CH298" s="8"/>
      <c r="CI298" s="8"/>
      <c r="CJ298" s="8"/>
      <c r="CK298" s="8"/>
      <c r="CL298" s="8"/>
      <c r="CM298" s="8"/>
      <c r="CN298" s="8"/>
      <c r="CO298" s="8"/>
      <c r="CP298" s="8"/>
      <c r="CQ298" s="9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9"/>
      <c r="DG298" s="9"/>
      <c r="DH298" s="10"/>
      <c r="DI298" s="9"/>
      <c r="DJ298" s="9"/>
      <c r="DK298" s="3"/>
      <c r="DL298" s="3"/>
      <c r="DM298" s="3"/>
    </row>
    <row r="299" ht="11.25" customHeight="1">
      <c r="A299" s="3"/>
      <c r="B299" s="2"/>
      <c r="C299" s="3"/>
      <c r="D299" s="3"/>
      <c r="E299" s="3"/>
      <c r="F299" s="4"/>
      <c r="G299" s="4"/>
      <c r="H299" s="4"/>
      <c r="I299" s="5"/>
      <c r="J299" s="4"/>
      <c r="K299" s="4"/>
      <c r="L299" s="6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3"/>
      <c r="AL299" s="3"/>
      <c r="AM299" s="3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8"/>
      <c r="BU299" s="8"/>
      <c r="BV299" s="8"/>
      <c r="BW299" s="8"/>
      <c r="BX299" s="3"/>
      <c r="BY299" s="3"/>
      <c r="BZ299" s="3"/>
      <c r="CA299" s="8"/>
      <c r="CB299" s="8"/>
      <c r="CC299" s="8"/>
      <c r="CD299" s="8"/>
      <c r="CE299" s="8"/>
      <c r="CF299" s="8"/>
      <c r="CG299" s="9"/>
      <c r="CH299" s="8"/>
      <c r="CI299" s="8"/>
      <c r="CJ299" s="8"/>
      <c r="CK299" s="8"/>
      <c r="CL299" s="8"/>
      <c r="CM299" s="8"/>
      <c r="CN299" s="8"/>
      <c r="CO299" s="8"/>
      <c r="CP299" s="8"/>
      <c r="CQ299" s="9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9"/>
      <c r="DG299" s="9"/>
      <c r="DH299" s="10"/>
      <c r="DI299" s="9"/>
      <c r="DJ299" s="9"/>
      <c r="DK299" s="3"/>
      <c r="DL299" s="3"/>
      <c r="DM299" s="3"/>
    </row>
    <row r="300" ht="11.25" customHeight="1">
      <c r="A300" s="3"/>
      <c r="B300" s="2"/>
      <c r="C300" s="3"/>
      <c r="D300" s="3"/>
      <c r="E300" s="3"/>
      <c r="F300" s="4"/>
      <c r="G300" s="4"/>
      <c r="H300" s="4"/>
      <c r="I300" s="5"/>
      <c r="J300" s="4"/>
      <c r="K300" s="4"/>
      <c r="L300" s="6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3"/>
      <c r="AL300" s="3"/>
      <c r="AM300" s="3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8"/>
      <c r="BU300" s="8"/>
      <c r="BV300" s="8"/>
      <c r="BW300" s="8"/>
      <c r="BX300" s="3"/>
      <c r="BY300" s="3"/>
      <c r="BZ300" s="3"/>
      <c r="CA300" s="8"/>
      <c r="CB300" s="8"/>
      <c r="CC300" s="8"/>
      <c r="CD300" s="8"/>
      <c r="CE300" s="8"/>
      <c r="CF300" s="8"/>
      <c r="CG300" s="9"/>
      <c r="CH300" s="8"/>
      <c r="CI300" s="8"/>
      <c r="CJ300" s="8"/>
      <c r="CK300" s="8"/>
      <c r="CL300" s="8"/>
      <c r="CM300" s="8"/>
      <c r="CN300" s="8"/>
      <c r="CO300" s="8"/>
      <c r="CP300" s="8"/>
      <c r="CQ300" s="9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9"/>
      <c r="DG300" s="9"/>
      <c r="DH300" s="10"/>
      <c r="DI300" s="9"/>
      <c r="DJ300" s="9"/>
      <c r="DK300" s="3"/>
      <c r="DL300" s="3"/>
      <c r="DM300" s="3"/>
    </row>
    <row r="301" ht="11.25" customHeight="1">
      <c r="A301" s="3"/>
      <c r="B301" s="2"/>
      <c r="C301" s="3"/>
      <c r="D301" s="3"/>
      <c r="E301" s="3"/>
      <c r="F301" s="4"/>
      <c r="G301" s="4"/>
      <c r="H301" s="4"/>
      <c r="I301" s="5"/>
      <c r="J301" s="4"/>
      <c r="K301" s="4"/>
      <c r="L301" s="6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3"/>
      <c r="AL301" s="3"/>
      <c r="AM301" s="3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8"/>
      <c r="BU301" s="8"/>
      <c r="BV301" s="8"/>
      <c r="BW301" s="8"/>
      <c r="BX301" s="3"/>
      <c r="BY301" s="3"/>
      <c r="BZ301" s="3"/>
      <c r="CA301" s="8"/>
      <c r="CB301" s="8"/>
      <c r="CC301" s="8"/>
      <c r="CD301" s="8"/>
      <c r="CE301" s="8"/>
      <c r="CF301" s="8"/>
      <c r="CG301" s="9"/>
      <c r="CH301" s="8"/>
      <c r="CI301" s="8"/>
      <c r="CJ301" s="8"/>
      <c r="CK301" s="8"/>
      <c r="CL301" s="8"/>
      <c r="CM301" s="8"/>
      <c r="CN301" s="8"/>
      <c r="CO301" s="8"/>
      <c r="CP301" s="8"/>
      <c r="CQ301" s="9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9"/>
      <c r="DG301" s="9"/>
      <c r="DH301" s="10"/>
      <c r="DI301" s="9"/>
      <c r="DJ301" s="9"/>
      <c r="DK301" s="3"/>
      <c r="DL301" s="3"/>
      <c r="DM301" s="3"/>
    </row>
    <row r="302" ht="11.25" customHeight="1">
      <c r="A302" s="3"/>
      <c r="B302" s="2"/>
      <c r="C302" s="3"/>
      <c r="D302" s="3"/>
      <c r="E302" s="3"/>
      <c r="F302" s="4"/>
      <c r="G302" s="4"/>
      <c r="H302" s="4"/>
      <c r="I302" s="5"/>
      <c r="J302" s="4"/>
      <c r="K302" s="4"/>
      <c r="L302" s="6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3"/>
      <c r="AL302" s="3"/>
      <c r="AM302" s="3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8"/>
      <c r="BU302" s="8"/>
      <c r="BV302" s="8"/>
      <c r="BW302" s="8"/>
      <c r="BX302" s="3"/>
      <c r="BY302" s="3"/>
      <c r="BZ302" s="3"/>
      <c r="CA302" s="8"/>
      <c r="CB302" s="8"/>
      <c r="CC302" s="8"/>
      <c r="CD302" s="8"/>
      <c r="CE302" s="8"/>
      <c r="CF302" s="8"/>
      <c r="CG302" s="9"/>
      <c r="CH302" s="8"/>
      <c r="CI302" s="8"/>
      <c r="CJ302" s="8"/>
      <c r="CK302" s="8"/>
      <c r="CL302" s="8"/>
      <c r="CM302" s="8"/>
      <c r="CN302" s="8"/>
      <c r="CO302" s="8"/>
      <c r="CP302" s="8"/>
      <c r="CQ302" s="9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9"/>
      <c r="DG302" s="9"/>
      <c r="DH302" s="10"/>
      <c r="DI302" s="9"/>
      <c r="DJ302" s="9"/>
      <c r="DK302" s="3"/>
      <c r="DL302" s="3"/>
      <c r="DM302" s="3"/>
    </row>
    <row r="303" ht="11.25" customHeight="1">
      <c r="A303" s="3"/>
      <c r="B303" s="2"/>
      <c r="C303" s="3"/>
      <c r="D303" s="3"/>
      <c r="E303" s="3"/>
      <c r="F303" s="4"/>
      <c r="G303" s="4"/>
      <c r="H303" s="4"/>
      <c r="I303" s="5"/>
      <c r="J303" s="4"/>
      <c r="K303" s="4"/>
      <c r="L303" s="6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3"/>
      <c r="AL303" s="3"/>
      <c r="AM303" s="3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8"/>
      <c r="BU303" s="8"/>
      <c r="BV303" s="8"/>
      <c r="BW303" s="8"/>
      <c r="BX303" s="3"/>
      <c r="BY303" s="3"/>
      <c r="BZ303" s="3"/>
      <c r="CA303" s="8"/>
      <c r="CB303" s="8"/>
      <c r="CC303" s="8"/>
      <c r="CD303" s="8"/>
      <c r="CE303" s="8"/>
      <c r="CF303" s="8"/>
      <c r="CG303" s="9"/>
      <c r="CH303" s="8"/>
      <c r="CI303" s="8"/>
      <c r="CJ303" s="8"/>
      <c r="CK303" s="8"/>
      <c r="CL303" s="8"/>
      <c r="CM303" s="8"/>
      <c r="CN303" s="8"/>
      <c r="CO303" s="8"/>
      <c r="CP303" s="8"/>
      <c r="CQ303" s="9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9"/>
      <c r="DG303" s="9"/>
      <c r="DH303" s="10"/>
      <c r="DI303" s="9"/>
      <c r="DJ303" s="9"/>
      <c r="DK303" s="3"/>
      <c r="DL303" s="3"/>
      <c r="DM303" s="3"/>
    </row>
    <row r="304" ht="11.25" customHeight="1">
      <c r="A304" s="3"/>
      <c r="B304" s="2"/>
      <c r="C304" s="3"/>
      <c r="D304" s="3"/>
      <c r="E304" s="3"/>
      <c r="F304" s="4"/>
      <c r="G304" s="4"/>
      <c r="H304" s="4"/>
      <c r="I304" s="5"/>
      <c r="J304" s="4"/>
      <c r="K304" s="4"/>
      <c r="L304" s="6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3"/>
      <c r="AL304" s="3"/>
      <c r="AM304" s="3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8"/>
      <c r="BU304" s="8"/>
      <c r="BV304" s="8"/>
      <c r="BW304" s="8"/>
      <c r="BX304" s="3"/>
      <c r="BY304" s="3"/>
      <c r="BZ304" s="3"/>
      <c r="CA304" s="8"/>
      <c r="CB304" s="8"/>
      <c r="CC304" s="8"/>
      <c r="CD304" s="8"/>
      <c r="CE304" s="8"/>
      <c r="CF304" s="8"/>
      <c r="CG304" s="9"/>
      <c r="CH304" s="8"/>
      <c r="CI304" s="8"/>
      <c r="CJ304" s="8"/>
      <c r="CK304" s="8"/>
      <c r="CL304" s="8"/>
      <c r="CM304" s="8"/>
      <c r="CN304" s="8"/>
      <c r="CO304" s="8"/>
      <c r="CP304" s="8"/>
      <c r="CQ304" s="9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9"/>
      <c r="DG304" s="9"/>
      <c r="DH304" s="10"/>
      <c r="DI304" s="9"/>
      <c r="DJ304" s="9"/>
      <c r="DK304" s="3"/>
      <c r="DL304" s="3"/>
      <c r="DM304" s="3"/>
    </row>
    <row r="305" ht="11.25" customHeight="1">
      <c r="A305" s="3"/>
      <c r="B305" s="2"/>
      <c r="C305" s="3"/>
      <c r="D305" s="3"/>
      <c r="E305" s="3"/>
      <c r="F305" s="4"/>
      <c r="G305" s="4"/>
      <c r="H305" s="4"/>
      <c r="I305" s="5"/>
      <c r="J305" s="4"/>
      <c r="K305" s="4"/>
      <c r="L305" s="6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3"/>
      <c r="AL305" s="3"/>
      <c r="AM305" s="3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8"/>
      <c r="BU305" s="8"/>
      <c r="BV305" s="8"/>
      <c r="BW305" s="8"/>
      <c r="BX305" s="3"/>
      <c r="BY305" s="3"/>
      <c r="BZ305" s="3"/>
      <c r="CA305" s="8"/>
      <c r="CB305" s="8"/>
      <c r="CC305" s="8"/>
      <c r="CD305" s="8"/>
      <c r="CE305" s="8"/>
      <c r="CF305" s="8"/>
      <c r="CG305" s="9"/>
      <c r="CH305" s="8"/>
      <c r="CI305" s="8"/>
      <c r="CJ305" s="8"/>
      <c r="CK305" s="8"/>
      <c r="CL305" s="8"/>
      <c r="CM305" s="8"/>
      <c r="CN305" s="8"/>
      <c r="CO305" s="8"/>
      <c r="CP305" s="8"/>
      <c r="CQ305" s="9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9"/>
      <c r="DG305" s="9"/>
      <c r="DH305" s="10"/>
      <c r="DI305" s="9"/>
      <c r="DJ305" s="9"/>
      <c r="DK305" s="3"/>
      <c r="DL305" s="3"/>
      <c r="DM305" s="3"/>
    </row>
    <row r="306" ht="11.25" customHeight="1">
      <c r="A306" s="3"/>
      <c r="B306" s="2"/>
      <c r="C306" s="3"/>
      <c r="D306" s="3"/>
      <c r="E306" s="3"/>
      <c r="F306" s="4"/>
      <c r="G306" s="4"/>
      <c r="H306" s="4"/>
      <c r="I306" s="5"/>
      <c r="J306" s="4"/>
      <c r="K306" s="4"/>
      <c r="L306" s="6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3"/>
      <c r="AL306" s="3"/>
      <c r="AM306" s="3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8"/>
      <c r="BU306" s="8"/>
      <c r="BV306" s="8"/>
      <c r="BW306" s="8"/>
      <c r="BX306" s="3"/>
      <c r="BY306" s="3"/>
      <c r="BZ306" s="3"/>
      <c r="CA306" s="8"/>
      <c r="CB306" s="8"/>
      <c r="CC306" s="8"/>
      <c r="CD306" s="8"/>
      <c r="CE306" s="8"/>
      <c r="CF306" s="8"/>
      <c r="CG306" s="9"/>
      <c r="CH306" s="8"/>
      <c r="CI306" s="8"/>
      <c r="CJ306" s="8"/>
      <c r="CK306" s="8"/>
      <c r="CL306" s="8"/>
      <c r="CM306" s="8"/>
      <c r="CN306" s="8"/>
      <c r="CO306" s="8"/>
      <c r="CP306" s="8"/>
      <c r="CQ306" s="9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9"/>
      <c r="DG306" s="9"/>
      <c r="DH306" s="10"/>
      <c r="DI306" s="9"/>
      <c r="DJ306" s="9"/>
      <c r="DK306" s="3"/>
      <c r="DL306" s="3"/>
      <c r="DM306" s="3"/>
    </row>
    <row r="307" ht="11.25" customHeight="1">
      <c r="A307" s="3"/>
      <c r="B307" s="2"/>
      <c r="C307" s="3"/>
      <c r="D307" s="3"/>
      <c r="E307" s="3"/>
      <c r="F307" s="4"/>
      <c r="G307" s="4"/>
      <c r="H307" s="4"/>
      <c r="I307" s="5"/>
      <c r="J307" s="4"/>
      <c r="K307" s="4"/>
      <c r="L307" s="6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3"/>
      <c r="AL307" s="3"/>
      <c r="AM307" s="3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8"/>
      <c r="BU307" s="8"/>
      <c r="BV307" s="8"/>
      <c r="BW307" s="8"/>
      <c r="BX307" s="3"/>
      <c r="BY307" s="3"/>
      <c r="BZ307" s="3"/>
      <c r="CA307" s="8"/>
      <c r="CB307" s="8"/>
      <c r="CC307" s="8"/>
      <c r="CD307" s="8"/>
      <c r="CE307" s="8"/>
      <c r="CF307" s="8"/>
      <c r="CG307" s="9"/>
      <c r="CH307" s="8"/>
      <c r="CI307" s="8"/>
      <c r="CJ307" s="8"/>
      <c r="CK307" s="8"/>
      <c r="CL307" s="8"/>
      <c r="CM307" s="8"/>
      <c r="CN307" s="8"/>
      <c r="CO307" s="8"/>
      <c r="CP307" s="8"/>
      <c r="CQ307" s="9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9"/>
      <c r="DG307" s="9"/>
      <c r="DH307" s="10"/>
      <c r="DI307" s="9"/>
      <c r="DJ307" s="9"/>
      <c r="DK307" s="3"/>
      <c r="DL307" s="3"/>
      <c r="DM307" s="3"/>
    </row>
    <row r="308" ht="11.25" customHeight="1">
      <c r="A308" s="3"/>
      <c r="B308" s="2"/>
      <c r="C308" s="3"/>
      <c r="D308" s="3"/>
      <c r="E308" s="3"/>
      <c r="F308" s="4"/>
      <c r="G308" s="4"/>
      <c r="H308" s="4"/>
      <c r="I308" s="5"/>
      <c r="J308" s="4"/>
      <c r="K308" s="4"/>
      <c r="L308" s="6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3"/>
      <c r="AL308" s="3"/>
      <c r="AM308" s="3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8"/>
      <c r="BU308" s="8"/>
      <c r="BV308" s="8"/>
      <c r="BW308" s="8"/>
      <c r="BX308" s="3"/>
      <c r="BY308" s="3"/>
      <c r="BZ308" s="3"/>
      <c r="CA308" s="8"/>
      <c r="CB308" s="8"/>
      <c r="CC308" s="8"/>
      <c r="CD308" s="8"/>
      <c r="CE308" s="8"/>
      <c r="CF308" s="8"/>
      <c r="CG308" s="9"/>
      <c r="CH308" s="8"/>
      <c r="CI308" s="8"/>
      <c r="CJ308" s="8"/>
      <c r="CK308" s="8"/>
      <c r="CL308" s="8"/>
      <c r="CM308" s="8"/>
      <c r="CN308" s="8"/>
      <c r="CO308" s="8"/>
      <c r="CP308" s="8"/>
      <c r="CQ308" s="9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9"/>
      <c r="DG308" s="9"/>
      <c r="DH308" s="10"/>
      <c r="DI308" s="9"/>
      <c r="DJ308" s="9"/>
      <c r="DK308" s="3"/>
      <c r="DL308" s="3"/>
      <c r="DM308" s="3"/>
    </row>
    <row r="309" ht="11.25" customHeight="1">
      <c r="A309" s="3"/>
      <c r="B309" s="2"/>
      <c r="C309" s="3"/>
      <c r="D309" s="3"/>
      <c r="E309" s="3"/>
      <c r="F309" s="4"/>
      <c r="G309" s="4"/>
      <c r="H309" s="4"/>
      <c r="I309" s="5"/>
      <c r="J309" s="4"/>
      <c r="K309" s="4"/>
      <c r="L309" s="6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3"/>
      <c r="AL309" s="3"/>
      <c r="AM309" s="3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8"/>
      <c r="BU309" s="8"/>
      <c r="BV309" s="8"/>
      <c r="BW309" s="8"/>
      <c r="BX309" s="3"/>
      <c r="BY309" s="3"/>
      <c r="BZ309" s="3"/>
      <c r="CA309" s="8"/>
      <c r="CB309" s="8"/>
      <c r="CC309" s="8"/>
      <c r="CD309" s="8"/>
      <c r="CE309" s="8"/>
      <c r="CF309" s="8"/>
      <c r="CG309" s="9"/>
      <c r="CH309" s="8"/>
      <c r="CI309" s="8"/>
      <c r="CJ309" s="8"/>
      <c r="CK309" s="8"/>
      <c r="CL309" s="8"/>
      <c r="CM309" s="8"/>
      <c r="CN309" s="8"/>
      <c r="CO309" s="8"/>
      <c r="CP309" s="8"/>
      <c r="CQ309" s="9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9"/>
      <c r="DG309" s="9"/>
      <c r="DH309" s="10"/>
      <c r="DI309" s="9"/>
      <c r="DJ309" s="9"/>
      <c r="DK309" s="3"/>
      <c r="DL309" s="3"/>
      <c r="DM309" s="3"/>
    </row>
    <row r="310" ht="11.25" customHeight="1">
      <c r="A310" s="3"/>
      <c r="B310" s="2"/>
      <c r="C310" s="3"/>
      <c r="D310" s="3"/>
      <c r="E310" s="3"/>
      <c r="F310" s="4"/>
      <c r="G310" s="4"/>
      <c r="H310" s="4"/>
      <c r="I310" s="5"/>
      <c r="J310" s="4"/>
      <c r="K310" s="4"/>
      <c r="L310" s="6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3"/>
      <c r="AL310" s="3"/>
      <c r="AM310" s="3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8"/>
      <c r="BU310" s="8"/>
      <c r="BV310" s="8"/>
      <c r="BW310" s="8"/>
      <c r="BX310" s="3"/>
      <c r="BY310" s="3"/>
      <c r="BZ310" s="3"/>
      <c r="CA310" s="8"/>
      <c r="CB310" s="8"/>
      <c r="CC310" s="8"/>
      <c r="CD310" s="8"/>
      <c r="CE310" s="8"/>
      <c r="CF310" s="8"/>
      <c r="CG310" s="9"/>
      <c r="CH310" s="8"/>
      <c r="CI310" s="8"/>
      <c r="CJ310" s="8"/>
      <c r="CK310" s="8"/>
      <c r="CL310" s="8"/>
      <c r="CM310" s="8"/>
      <c r="CN310" s="8"/>
      <c r="CO310" s="8"/>
      <c r="CP310" s="8"/>
      <c r="CQ310" s="9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9"/>
      <c r="DG310" s="9"/>
      <c r="DH310" s="10"/>
      <c r="DI310" s="9"/>
      <c r="DJ310" s="9"/>
      <c r="DK310" s="3"/>
      <c r="DL310" s="3"/>
      <c r="DM310" s="3"/>
    </row>
    <row r="311" ht="11.25" customHeight="1">
      <c r="A311" s="3"/>
      <c r="B311" s="2"/>
      <c r="C311" s="3"/>
      <c r="D311" s="3"/>
      <c r="E311" s="3"/>
      <c r="F311" s="4"/>
      <c r="G311" s="4"/>
      <c r="H311" s="4"/>
      <c r="I311" s="5"/>
      <c r="J311" s="4"/>
      <c r="K311" s="4"/>
      <c r="L311" s="6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3"/>
      <c r="AL311" s="3"/>
      <c r="AM311" s="3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8"/>
      <c r="BU311" s="8"/>
      <c r="BV311" s="8"/>
      <c r="BW311" s="8"/>
      <c r="BX311" s="3"/>
      <c r="BY311" s="3"/>
      <c r="BZ311" s="3"/>
      <c r="CA311" s="8"/>
      <c r="CB311" s="8"/>
      <c r="CC311" s="8"/>
      <c r="CD311" s="8"/>
      <c r="CE311" s="8"/>
      <c r="CF311" s="8"/>
      <c r="CG311" s="9"/>
      <c r="CH311" s="8"/>
      <c r="CI311" s="8"/>
      <c r="CJ311" s="8"/>
      <c r="CK311" s="8"/>
      <c r="CL311" s="8"/>
      <c r="CM311" s="8"/>
      <c r="CN311" s="8"/>
      <c r="CO311" s="8"/>
      <c r="CP311" s="8"/>
      <c r="CQ311" s="9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9"/>
      <c r="DG311" s="9"/>
      <c r="DH311" s="10"/>
      <c r="DI311" s="9"/>
      <c r="DJ311" s="9"/>
      <c r="DK311" s="3"/>
      <c r="DL311" s="3"/>
      <c r="DM311" s="3"/>
    </row>
    <row r="312" ht="11.25" customHeight="1">
      <c r="A312" s="3"/>
      <c r="B312" s="2"/>
      <c r="C312" s="3"/>
      <c r="D312" s="3"/>
      <c r="E312" s="3"/>
      <c r="F312" s="4"/>
      <c r="G312" s="4"/>
      <c r="H312" s="4"/>
      <c r="I312" s="5"/>
      <c r="J312" s="4"/>
      <c r="K312" s="4"/>
      <c r="L312" s="6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3"/>
      <c r="AL312" s="3"/>
      <c r="AM312" s="3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8"/>
      <c r="BU312" s="8"/>
      <c r="BV312" s="8"/>
      <c r="BW312" s="8"/>
      <c r="BX312" s="3"/>
      <c r="BY312" s="3"/>
      <c r="BZ312" s="3"/>
      <c r="CA312" s="8"/>
      <c r="CB312" s="8"/>
      <c r="CC312" s="8"/>
      <c r="CD312" s="8"/>
      <c r="CE312" s="8"/>
      <c r="CF312" s="8"/>
      <c r="CG312" s="9"/>
      <c r="CH312" s="8"/>
      <c r="CI312" s="8"/>
      <c r="CJ312" s="8"/>
      <c r="CK312" s="8"/>
      <c r="CL312" s="8"/>
      <c r="CM312" s="8"/>
      <c r="CN312" s="8"/>
      <c r="CO312" s="8"/>
      <c r="CP312" s="8"/>
      <c r="CQ312" s="9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9"/>
      <c r="DG312" s="9"/>
      <c r="DH312" s="10"/>
      <c r="DI312" s="9"/>
      <c r="DJ312" s="9"/>
      <c r="DK312" s="3"/>
      <c r="DL312" s="3"/>
      <c r="DM312" s="3"/>
    </row>
    <row r="313" ht="11.25" customHeight="1">
      <c r="A313" s="3"/>
      <c r="B313" s="2"/>
      <c r="C313" s="3"/>
      <c r="D313" s="3"/>
      <c r="E313" s="3"/>
      <c r="F313" s="4"/>
      <c r="G313" s="4"/>
      <c r="H313" s="4"/>
      <c r="I313" s="5"/>
      <c r="J313" s="4"/>
      <c r="K313" s="4"/>
      <c r="L313" s="6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3"/>
      <c r="AL313" s="3"/>
      <c r="AM313" s="3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8"/>
      <c r="BU313" s="8"/>
      <c r="BV313" s="8"/>
      <c r="BW313" s="8"/>
      <c r="BX313" s="3"/>
      <c r="BY313" s="3"/>
      <c r="BZ313" s="3"/>
      <c r="CA313" s="8"/>
      <c r="CB313" s="8"/>
      <c r="CC313" s="8"/>
      <c r="CD313" s="8"/>
      <c r="CE313" s="8"/>
      <c r="CF313" s="8"/>
      <c r="CG313" s="9"/>
      <c r="CH313" s="8"/>
      <c r="CI313" s="8"/>
      <c r="CJ313" s="8"/>
      <c r="CK313" s="8"/>
      <c r="CL313" s="8"/>
      <c r="CM313" s="8"/>
      <c r="CN313" s="8"/>
      <c r="CO313" s="8"/>
      <c r="CP313" s="8"/>
      <c r="CQ313" s="9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9"/>
      <c r="DG313" s="9"/>
      <c r="DH313" s="10"/>
      <c r="DI313" s="9"/>
      <c r="DJ313" s="9"/>
      <c r="DK313" s="3"/>
      <c r="DL313" s="3"/>
      <c r="DM313" s="3"/>
    </row>
    <row r="314" ht="11.25" customHeight="1">
      <c r="A314" s="3"/>
      <c r="B314" s="2"/>
      <c r="C314" s="3"/>
      <c r="D314" s="3"/>
      <c r="E314" s="3"/>
      <c r="F314" s="4"/>
      <c r="G314" s="4"/>
      <c r="H314" s="4"/>
      <c r="I314" s="5"/>
      <c r="J314" s="4"/>
      <c r="K314" s="4"/>
      <c r="L314" s="6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3"/>
      <c r="AL314" s="3"/>
      <c r="AM314" s="3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8"/>
      <c r="BU314" s="8"/>
      <c r="BV314" s="8"/>
      <c r="BW314" s="8"/>
      <c r="BX314" s="3"/>
      <c r="BY314" s="3"/>
      <c r="BZ314" s="3"/>
      <c r="CA314" s="8"/>
      <c r="CB314" s="8"/>
      <c r="CC314" s="8"/>
      <c r="CD314" s="8"/>
      <c r="CE314" s="8"/>
      <c r="CF314" s="8"/>
      <c r="CG314" s="9"/>
      <c r="CH314" s="8"/>
      <c r="CI314" s="8"/>
      <c r="CJ314" s="8"/>
      <c r="CK314" s="8"/>
      <c r="CL314" s="8"/>
      <c r="CM314" s="8"/>
      <c r="CN314" s="8"/>
      <c r="CO314" s="8"/>
      <c r="CP314" s="8"/>
      <c r="CQ314" s="9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9"/>
      <c r="DG314" s="9"/>
      <c r="DH314" s="10"/>
      <c r="DI314" s="9"/>
      <c r="DJ314" s="9"/>
      <c r="DK314" s="3"/>
      <c r="DL314" s="3"/>
      <c r="DM314" s="3"/>
    </row>
    <row r="315" ht="11.25" customHeight="1">
      <c r="A315" s="3"/>
      <c r="B315" s="2"/>
      <c r="C315" s="3"/>
      <c r="D315" s="3"/>
      <c r="E315" s="3"/>
      <c r="F315" s="4"/>
      <c r="G315" s="4"/>
      <c r="H315" s="4"/>
      <c r="I315" s="5"/>
      <c r="J315" s="4"/>
      <c r="K315" s="4"/>
      <c r="L315" s="6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3"/>
      <c r="AL315" s="3"/>
      <c r="AM315" s="3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8"/>
      <c r="BU315" s="8"/>
      <c r="BV315" s="8"/>
      <c r="BW315" s="8"/>
      <c r="BX315" s="3"/>
      <c r="BY315" s="3"/>
      <c r="BZ315" s="3"/>
      <c r="CA315" s="8"/>
      <c r="CB315" s="8"/>
      <c r="CC315" s="8"/>
      <c r="CD315" s="8"/>
      <c r="CE315" s="8"/>
      <c r="CF315" s="8"/>
      <c r="CG315" s="9"/>
      <c r="CH315" s="8"/>
      <c r="CI315" s="8"/>
      <c r="CJ315" s="8"/>
      <c r="CK315" s="8"/>
      <c r="CL315" s="8"/>
      <c r="CM315" s="8"/>
      <c r="CN315" s="8"/>
      <c r="CO315" s="8"/>
      <c r="CP315" s="8"/>
      <c r="CQ315" s="9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9"/>
      <c r="DG315" s="9"/>
      <c r="DH315" s="10"/>
      <c r="DI315" s="9"/>
      <c r="DJ315" s="9"/>
      <c r="DK315" s="3"/>
      <c r="DL315" s="3"/>
      <c r="DM315" s="3"/>
    </row>
    <row r="316" ht="11.25" customHeight="1">
      <c r="A316" s="3"/>
      <c r="B316" s="2"/>
      <c r="C316" s="3"/>
      <c r="D316" s="3"/>
      <c r="E316" s="3"/>
      <c r="F316" s="4"/>
      <c r="G316" s="4"/>
      <c r="H316" s="4"/>
      <c r="I316" s="5"/>
      <c r="J316" s="4"/>
      <c r="K316" s="4"/>
      <c r="L316" s="6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3"/>
      <c r="AL316" s="3"/>
      <c r="AM316" s="3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8"/>
      <c r="BU316" s="8"/>
      <c r="BV316" s="8"/>
      <c r="BW316" s="8"/>
      <c r="BX316" s="3"/>
      <c r="BY316" s="3"/>
      <c r="BZ316" s="3"/>
      <c r="CA316" s="8"/>
      <c r="CB316" s="8"/>
      <c r="CC316" s="8"/>
      <c r="CD316" s="8"/>
      <c r="CE316" s="8"/>
      <c r="CF316" s="8"/>
      <c r="CG316" s="9"/>
      <c r="CH316" s="8"/>
      <c r="CI316" s="8"/>
      <c r="CJ316" s="8"/>
      <c r="CK316" s="8"/>
      <c r="CL316" s="8"/>
      <c r="CM316" s="8"/>
      <c r="CN316" s="8"/>
      <c r="CO316" s="8"/>
      <c r="CP316" s="8"/>
      <c r="CQ316" s="9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9"/>
      <c r="DG316" s="9"/>
      <c r="DH316" s="10"/>
      <c r="DI316" s="9"/>
      <c r="DJ316" s="9"/>
      <c r="DK316" s="3"/>
      <c r="DL316" s="3"/>
      <c r="DM316" s="3"/>
    </row>
    <row r="317" ht="11.25" customHeight="1">
      <c r="A317" s="3"/>
      <c r="B317" s="2"/>
      <c r="C317" s="3"/>
      <c r="D317" s="3"/>
      <c r="E317" s="3"/>
      <c r="F317" s="4"/>
      <c r="G317" s="4"/>
      <c r="H317" s="4"/>
      <c r="I317" s="5"/>
      <c r="J317" s="4"/>
      <c r="K317" s="4"/>
      <c r="L317" s="6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3"/>
      <c r="AL317" s="3"/>
      <c r="AM317" s="3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8"/>
      <c r="BU317" s="8"/>
      <c r="BV317" s="8"/>
      <c r="BW317" s="8"/>
      <c r="BX317" s="3"/>
      <c r="BY317" s="3"/>
      <c r="BZ317" s="3"/>
      <c r="CA317" s="8"/>
      <c r="CB317" s="8"/>
      <c r="CC317" s="8"/>
      <c r="CD317" s="8"/>
      <c r="CE317" s="8"/>
      <c r="CF317" s="8"/>
      <c r="CG317" s="9"/>
      <c r="CH317" s="8"/>
      <c r="CI317" s="8"/>
      <c r="CJ317" s="8"/>
      <c r="CK317" s="8"/>
      <c r="CL317" s="8"/>
      <c r="CM317" s="8"/>
      <c r="CN317" s="8"/>
      <c r="CO317" s="8"/>
      <c r="CP317" s="8"/>
      <c r="CQ317" s="9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9"/>
      <c r="DG317" s="9"/>
      <c r="DH317" s="10"/>
      <c r="DI317" s="9"/>
      <c r="DJ317" s="9"/>
      <c r="DK317" s="3"/>
      <c r="DL317" s="3"/>
      <c r="DM317" s="3"/>
    </row>
    <row r="318" ht="11.25" customHeight="1">
      <c r="A318" s="3"/>
      <c r="B318" s="2"/>
      <c r="C318" s="3"/>
      <c r="D318" s="3"/>
      <c r="E318" s="3"/>
      <c r="F318" s="4"/>
      <c r="G318" s="4"/>
      <c r="H318" s="4"/>
      <c r="I318" s="5"/>
      <c r="J318" s="4"/>
      <c r="K318" s="4"/>
      <c r="L318" s="6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3"/>
      <c r="AL318" s="3"/>
      <c r="AM318" s="3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8"/>
      <c r="BU318" s="8"/>
      <c r="BV318" s="8"/>
      <c r="BW318" s="8"/>
      <c r="BX318" s="3"/>
      <c r="BY318" s="3"/>
      <c r="BZ318" s="3"/>
      <c r="CA318" s="8"/>
      <c r="CB318" s="8"/>
      <c r="CC318" s="8"/>
      <c r="CD318" s="8"/>
      <c r="CE318" s="8"/>
      <c r="CF318" s="8"/>
      <c r="CG318" s="9"/>
      <c r="CH318" s="8"/>
      <c r="CI318" s="8"/>
      <c r="CJ318" s="8"/>
      <c r="CK318" s="8"/>
      <c r="CL318" s="8"/>
      <c r="CM318" s="8"/>
      <c r="CN318" s="8"/>
      <c r="CO318" s="8"/>
      <c r="CP318" s="8"/>
      <c r="CQ318" s="9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9"/>
      <c r="DG318" s="9"/>
      <c r="DH318" s="10"/>
      <c r="DI318" s="9"/>
      <c r="DJ318" s="9"/>
      <c r="DK318" s="3"/>
      <c r="DL318" s="3"/>
      <c r="DM318" s="3"/>
    </row>
    <row r="319" ht="11.25" customHeight="1">
      <c r="A319" s="3"/>
      <c r="B319" s="2"/>
      <c r="C319" s="3"/>
      <c r="D319" s="3"/>
      <c r="E319" s="3"/>
      <c r="F319" s="4"/>
      <c r="G319" s="4"/>
      <c r="H319" s="4"/>
      <c r="I319" s="5"/>
      <c r="J319" s="4"/>
      <c r="K319" s="4"/>
      <c r="L319" s="6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3"/>
      <c r="AL319" s="3"/>
      <c r="AM319" s="3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8"/>
      <c r="BU319" s="8"/>
      <c r="BV319" s="8"/>
      <c r="BW319" s="8"/>
      <c r="BX319" s="3"/>
      <c r="BY319" s="3"/>
      <c r="BZ319" s="3"/>
      <c r="CA319" s="8"/>
      <c r="CB319" s="8"/>
      <c r="CC319" s="8"/>
      <c r="CD319" s="8"/>
      <c r="CE319" s="8"/>
      <c r="CF319" s="8"/>
      <c r="CG319" s="9"/>
      <c r="CH319" s="8"/>
      <c r="CI319" s="8"/>
      <c r="CJ319" s="8"/>
      <c r="CK319" s="8"/>
      <c r="CL319" s="8"/>
      <c r="CM319" s="8"/>
      <c r="CN319" s="8"/>
      <c r="CO319" s="8"/>
      <c r="CP319" s="8"/>
      <c r="CQ319" s="9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9"/>
      <c r="DG319" s="9"/>
      <c r="DH319" s="10"/>
      <c r="DI319" s="9"/>
      <c r="DJ319" s="9"/>
      <c r="DK319" s="3"/>
      <c r="DL319" s="3"/>
      <c r="DM319" s="3"/>
    </row>
    <row r="320" ht="11.25" customHeight="1">
      <c r="A320" s="3"/>
      <c r="B320" s="2"/>
      <c r="C320" s="3"/>
      <c r="D320" s="3"/>
      <c r="E320" s="3"/>
      <c r="F320" s="4"/>
      <c r="G320" s="4"/>
      <c r="H320" s="4"/>
      <c r="I320" s="5"/>
      <c r="J320" s="4"/>
      <c r="K320" s="4"/>
      <c r="L320" s="6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3"/>
      <c r="AL320" s="3"/>
      <c r="AM320" s="3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8"/>
      <c r="BU320" s="8"/>
      <c r="BV320" s="8"/>
      <c r="BW320" s="8"/>
      <c r="BX320" s="3"/>
      <c r="BY320" s="3"/>
      <c r="BZ320" s="3"/>
      <c r="CA320" s="8"/>
      <c r="CB320" s="8"/>
      <c r="CC320" s="8"/>
      <c r="CD320" s="8"/>
      <c r="CE320" s="8"/>
      <c r="CF320" s="8"/>
      <c r="CG320" s="9"/>
      <c r="CH320" s="8"/>
      <c r="CI320" s="8"/>
      <c r="CJ320" s="8"/>
      <c r="CK320" s="8"/>
      <c r="CL320" s="8"/>
      <c r="CM320" s="8"/>
      <c r="CN320" s="8"/>
      <c r="CO320" s="8"/>
      <c r="CP320" s="8"/>
      <c r="CQ320" s="9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9"/>
      <c r="DG320" s="9"/>
      <c r="DH320" s="10"/>
      <c r="DI320" s="9"/>
      <c r="DJ320" s="9"/>
      <c r="DK320" s="3"/>
      <c r="DL320" s="3"/>
      <c r="DM320" s="3"/>
    </row>
    <row r="321" ht="11.25" customHeight="1">
      <c r="A321" s="3"/>
      <c r="B321" s="2"/>
      <c r="C321" s="3"/>
      <c r="D321" s="3"/>
      <c r="E321" s="3"/>
      <c r="F321" s="4"/>
      <c r="G321" s="4"/>
      <c r="H321" s="4"/>
      <c r="I321" s="5"/>
      <c r="J321" s="4"/>
      <c r="K321" s="4"/>
      <c r="L321" s="6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3"/>
      <c r="AL321" s="3"/>
      <c r="AM321" s="3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8"/>
      <c r="BU321" s="8"/>
      <c r="BV321" s="8"/>
      <c r="BW321" s="8"/>
      <c r="BX321" s="3"/>
      <c r="BY321" s="3"/>
      <c r="BZ321" s="3"/>
      <c r="CA321" s="8"/>
      <c r="CB321" s="8"/>
      <c r="CC321" s="8"/>
      <c r="CD321" s="8"/>
      <c r="CE321" s="8"/>
      <c r="CF321" s="8"/>
      <c r="CG321" s="9"/>
      <c r="CH321" s="8"/>
      <c r="CI321" s="8"/>
      <c r="CJ321" s="8"/>
      <c r="CK321" s="8"/>
      <c r="CL321" s="8"/>
      <c r="CM321" s="8"/>
      <c r="CN321" s="8"/>
      <c r="CO321" s="8"/>
      <c r="CP321" s="8"/>
      <c r="CQ321" s="9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9"/>
      <c r="DG321" s="9"/>
      <c r="DH321" s="10"/>
      <c r="DI321" s="9"/>
      <c r="DJ321" s="9"/>
      <c r="DK321" s="3"/>
      <c r="DL321" s="3"/>
      <c r="DM321" s="3"/>
    </row>
    <row r="322" ht="11.25" customHeight="1">
      <c r="A322" s="3"/>
      <c r="B322" s="2"/>
      <c r="C322" s="3"/>
      <c r="D322" s="3"/>
      <c r="E322" s="3"/>
      <c r="F322" s="4"/>
      <c r="G322" s="4"/>
      <c r="H322" s="4"/>
      <c r="I322" s="5"/>
      <c r="J322" s="4"/>
      <c r="K322" s="4"/>
      <c r="L322" s="6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3"/>
      <c r="AL322" s="3"/>
      <c r="AM322" s="3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8"/>
      <c r="BU322" s="8"/>
      <c r="BV322" s="8"/>
      <c r="BW322" s="8"/>
      <c r="BX322" s="3"/>
      <c r="BY322" s="3"/>
      <c r="BZ322" s="3"/>
      <c r="CA322" s="8"/>
      <c r="CB322" s="8"/>
      <c r="CC322" s="8"/>
      <c r="CD322" s="8"/>
      <c r="CE322" s="8"/>
      <c r="CF322" s="8"/>
      <c r="CG322" s="9"/>
      <c r="CH322" s="8"/>
      <c r="CI322" s="8"/>
      <c r="CJ322" s="8"/>
      <c r="CK322" s="8"/>
      <c r="CL322" s="8"/>
      <c r="CM322" s="8"/>
      <c r="CN322" s="8"/>
      <c r="CO322" s="8"/>
      <c r="CP322" s="8"/>
      <c r="CQ322" s="9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9"/>
      <c r="DG322" s="9"/>
      <c r="DH322" s="10"/>
      <c r="DI322" s="9"/>
      <c r="DJ322" s="9"/>
      <c r="DK322" s="3"/>
      <c r="DL322" s="3"/>
      <c r="DM322" s="3"/>
    </row>
    <row r="323" ht="11.25" customHeight="1">
      <c r="A323" s="3"/>
      <c r="B323" s="2"/>
      <c r="C323" s="3"/>
      <c r="D323" s="3"/>
      <c r="E323" s="3"/>
      <c r="F323" s="4"/>
      <c r="G323" s="4"/>
      <c r="H323" s="4"/>
      <c r="I323" s="5"/>
      <c r="J323" s="4"/>
      <c r="K323" s="4"/>
      <c r="L323" s="6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3"/>
      <c r="AL323" s="3"/>
      <c r="AM323" s="3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8"/>
      <c r="BU323" s="8"/>
      <c r="BV323" s="8"/>
      <c r="BW323" s="8"/>
      <c r="BX323" s="3"/>
      <c r="BY323" s="3"/>
      <c r="BZ323" s="3"/>
      <c r="CA323" s="8"/>
      <c r="CB323" s="8"/>
      <c r="CC323" s="8"/>
      <c r="CD323" s="8"/>
      <c r="CE323" s="8"/>
      <c r="CF323" s="8"/>
      <c r="CG323" s="9"/>
      <c r="CH323" s="8"/>
      <c r="CI323" s="8"/>
      <c r="CJ323" s="8"/>
      <c r="CK323" s="8"/>
      <c r="CL323" s="8"/>
      <c r="CM323" s="8"/>
      <c r="CN323" s="8"/>
      <c r="CO323" s="8"/>
      <c r="CP323" s="8"/>
      <c r="CQ323" s="9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9"/>
      <c r="DG323" s="9"/>
      <c r="DH323" s="10"/>
      <c r="DI323" s="9"/>
      <c r="DJ323" s="9"/>
      <c r="DK323" s="3"/>
      <c r="DL323" s="3"/>
      <c r="DM323" s="3"/>
    </row>
    <row r="324" ht="11.25" customHeight="1">
      <c r="A324" s="3"/>
      <c r="B324" s="2"/>
      <c r="C324" s="3"/>
      <c r="D324" s="3"/>
      <c r="E324" s="3"/>
      <c r="F324" s="4"/>
      <c r="G324" s="4"/>
      <c r="H324" s="4"/>
      <c r="I324" s="5"/>
      <c r="J324" s="4"/>
      <c r="K324" s="4"/>
      <c r="L324" s="6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3"/>
      <c r="AL324" s="3"/>
      <c r="AM324" s="3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8"/>
      <c r="BU324" s="8"/>
      <c r="BV324" s="8"/>
      <c r="BW324" s="8"/>
      <c r="BX324" s="3"/>
      <c r="BY324" s="3"/>
      <c r="BZ324" s="3"/>
      <c r="CA324" s="8"/>
      <c r="CB324" s="8"/>
      <c r="CC324" s="8"/>
      <c r="CD324" s="8"/>
      <c r="CE324" s="8"/>
      <c r="CF324" s="8"/>
      <c r="CG324" s="9"/>
      <c r="CH324" s="8"/>
      <c r="CI324" s="8"/>
      <c r="CJ324" s="8"/>
      <c r="CK324" s="8"/>
      <c r="CL324" s="8"/>
      <c r="CM324" s="8"/>
      <c r="CN324" s="8"/>
      <c r="CO324" s="8"/>
      <c r="CP324" s="8"/>
      <c r="CQ324" s="9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9"/>
      <c r="DG324" s="9"/>
      <c r="DH324" s="10"/>
      <c r="DI324" s="9"/>
      <c r="DJ324" s="9"/>
      <c r="DK324" s="3"/>
      <c r="DL324" s="3"/>
      <c r="DM324" s="3"/>
    </row>
    <row r="325" ht="11.25" customHeight="1">
      <c r="A325" s="3"/>
      <c r="B325" s="2"/>
      <c r="C325" s="3"/>
      <c r="D325" s="3"/>
      <c r="E325" s="3"/>
      <c r="F325" s="4"/>
      <c r="G325" s="4"/>
      <c r="H325" s="4"/>
      <c r="I325" s="5"/>
      <c r="J325" s="4"/>
      <c r="K325" s="4"/>
      <c r="L325" s="6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3"/>
      <c r="AL325" s="3"/>
      <c r="AM325" s="3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8"/>
      <c r="BU325" s="8"/>
      <c r="BV325" s="8"/>
      <c r="BW325" s="8"/>
      <c r="BX325" s="3"/>
      <c r="BY325" s="3"/>
      <c r="BZ325" s="3"/>
      <c r="CA325" s="8"/>
      <c r="CB325" s="8"/>
      <c r="CC325" s="8"/>
      <c r="CD325" s="8"/>
      <c r="CE325" s="8"/>
      <c r="CF325" s="8"/>
      <c r="CG325" s="9"/>
      <c r="CH325" s="8"/>
      <c r="CI325" s="8"/>
      <c r="CJ325" s="8"/>
      <c r="CK325" s="8"/>
      <c r="CL325" s="8"/>
      <c r="CM325" s="8"/>
      <c r="CN325" s="8"/>
      <c r="CO325" s="8"/>
      <c r="CP325" s="8"/>
      <c r="CQ325" s="9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9"/>
      <c r="DG325" s="9"/>
      <c r="DH325" s="10"/>
      <c r="DI325" s="9"/>
      <c r="DJ325" s="9"/>
      <c r="DK325" s="3"/>
      <c r="DL325" s="3"/>
      <c r="DM325" s="3"/>
    </row>
    <row r="326" ht="11.25" customHeight="1">
      <c r="A326" s="3"/>
      <c r="B326" s="2"/>
      <c r="C326" s="3"/>
      <c r="D326" s="3"/>
      <c r="E326" s="3"/>
      <c r="F326" s="4"/>
      <c r="G326" s="4"/>
      <c r="H326" s="4"/>
      <c r="I326" s="5"/>
      <c r="J326" s="4"/>
      <c r="K326" s="4"/>
      <c r="L326" s="6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3"/>
      <c r="AL326" s="3"/>
      <c r="AM326" s="3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8"/>
      <c r="BU326" s="8"/>
      <c r="BV326" s="8"/>
      <c r="BW326" s="8"/>
      <c r="BX326" s="3"/>
      <c r="BY326" s="3"/>
      <c r="BZ326" s="3"/>
      <c r="CA326" s="8"/>
      <c r="CB326" s="8"/>
      <c r="CC326" s="8"/>
      <c r="CD326" s="8"/>
      <c r="CE326" s="8"/>
      <c r="CF326" s="8"/>
      <c r="CG326" s="9"/>
      <c r="CH326" s="8"/>
      <c r="CI326" s="8"/>
      <c r="CJ326" s="8"/>
      <c r="CK326" s="8"/>
      <c r="CL326" s="8"/>
      <c r="CM326" s="8"/>
      <c r="CN326" s="8"/>
      <c r="CO326" s="8"/>
      <c r="CP326" s="8"/>
      <c r="CQ326" s="9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9"/>
      <c r="DG326" s="9"/>
      <c r="DH326" s="10"/>
      <c r="DI326" s="9"/>
      <c r="DJ326" s="9"/>
      <c r="DK326" s="3"/>
      <c r="DL326" s="3"/>
      <c r="DM326" s="3"/>
    </row>
    <row r="327" ht="11.25" customHeight="1">
      <c r="A327" s="3"/>
      <c r="B327" s="2"/>
      <c r="C327" s="3"/>
      <c r="D327" s="3"/>
      <c r="E327" s="3"/>
      <c r="F327" s="4"/>
      <c r="G327" s="4"/>
      <c r="H327" s="4"/>
      <c r="I327" s="5"/>
      <c r="J327" s="4"/>
      <c r="K327" s="4"/>
      <c r="L327" s="6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3"/>
      <c r="AL327" s="3"/>
      <c r="AM327" s="3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8"/>
      <c r="BU327" s="8"/>
      <c r="BV327" s="8"/>
      <c r="BW327" s="8"/>
      <c r="BX327" s="3"/>
      <c r="BY327" s="3"/>
      <c r="BZ327" s="3"/>
      <c r="CA327" s="8"/>
      <c r="CB327" s="8"/>
      <c r="CC327" s="8"/>
      <c r="CD327" s="8"/>
      <c r="CE327" s="8"/>
      <c r="CF327" s="8"/>
      <c r="CG327" s="9"/>
      <c r="CH327" s="8"/>
      <c r="CI327" s="8"/>
      <c r="CJ327" s="8"/>
      <c r="CK327" s="8"/>
      <c r="CL327" s="8"/>
      <c r="CM327" s="8"/>
      <c r="CN327" s="8"/>
      <c r="CO327" s="8"/>
      <c r="CP327" s="8"/>
      <c r="CQ327" s="9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9"/>
      <c r="DG327" s="9"/>
      <c r="DH327" s="10"/>
      <c r="DI327" s="9"/>
      <c r="DJ327" s="9"/>
      <c r="DK327" s="3"/>
      <c r="DL327" s="3"/>
      <c r="DM327" s="3"/>
    </row>
    <row r="328" ht="11.25" customHeight="1">
      <c r="A328" s="3"/>
      <c r="B328" s="2"/>
      <c r="C328" s="3"/>
      <c r="D328" s="3"/>
      <c r="E328" s="3"/>
      <c r="F328" s="4"/>
      <c r="G328" s="4"/>
      <c r="H328" s="4"/>
      <c r="I328" s="5"/>
      <c r="J328" s="4"/>
      <c r="K328" s="4"/>
      <c r="L328" s="6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3"/>
      <c r="AL328" s="3"/>
      <c r="AM328" s="3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8"/>
      <c r="BU328" s="8"/>
      <c r="BV328" s="8"/>
      <c r="BW328" s="8"/>
      <c r="BX328" s="3"/>
      <c r="BY328" s="3"/>
      <c r="BZ328" s="3"/>
      <c r="CA328" s="8"/>
      <c r="CB328" s="8"/>
      <c r="CC328" s="8"/>
      <c r="CD328" s="8"/>
      <c r="CE328" s="8"/>
      <c r="CF328" s="8"/>
      <c r="CG328" s="9"/>
      <c r="CH328" s="8"/>
      <c r="CI328" s="8"/>
      <c r="CJ328" s="8"/>
      <c r="CK328" s="8"/>
      <c r="CL328" s="8"/>
      <c r="CM328" s="8"/>
      <c r="CN328" s="8"/>
      <c r="CO328" s="8"/>
      <c r="CP328" s="8"/>
      <c r="CQ328" s="9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9"/>
      <c r="DG328" s="9"/>
      <c r="DH328" s="10"/>
      <c r="DI328" s="9"/>
      <c r="DJ328" s="9"/>
      <c r="DK328" s="3"/>
      <c r="DL328" s="3"/>
      <c r="DM328" s="3"/>
    </row>
    <row r="329" ht="11.25" customHeight="1">
      <c r="A329" s="3"/>
      <c r="B329" s="2"/>
      <c r="C329" s="3"/>
      <c r="D329" s="3"/>
      <c r="E329" s="3"/>
      <c r="F329" s="4"/>
      <c r="G329" s="4"/>
      <c r="H329" s="4"/>
      <c r="I329" s="5"/>
      <c r="J329" s="4"/>
      <c r="K329" s="4"/>
      <c r="L329" s="6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3"/>
      <c r="AL329" s="3"/>
      <c r="AM329" s="3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8"/>
      <c r="BU329" s="8"/>
      <c r="BV329" s="8"/>
      <c r="BW329" s="8"/>
      <c r="BX329" s="3"/>
      <c r="BY329" s="3"/>
      <c r="BZ329" s="3"/>
      <c r="CA329" s="8"/>
      <c r="CB329" s="8"/>
      <c r="CC329" s="8"/>
      <c r="CD329" s="8"/>
      <c r="CE329" s="8"/>
      <c r="CF329" s="8"/>
      <c r="CG329" s="9"/>
      <c r="CH329" s="8"/>
      <c r="CI329" s="8"/>
      <c r="CJ329" s="8"/>
      <c r="CK329" s="8"/>
      <c r="CL329" s="8"/>
      <c r="CM329" s="8"/>
      <c r="CN329" s="8"/>
      <c r="CO329" s="8"/>
      <c r="CP329" s="8"/>
      <c r="CQ329" s="9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9"/>
      <c r="DG329" s="9"/>
      <c r="DH329" s="10"/>
      <c r="DI329" s="9"/>
      <c r="DJ329" s="9"/>
      <c r="DK329" s="3"/>
      <c r="DL329" s="3"/>
      <c r="DM329" s="3"/>
    </row>
    <row r="330" ht="11.25" customHeight="1">
      <c r="A330" s="3"/>
      <c r="B330" s="2"/>
      <c r="C330" s="3"/>
      <c r="D330" s="3"/>
      <c r="E330" s="3"/>
      <c r="F330" s="4"/>
      <c r="G330" s="4"/>
      <c r="H330" s="4"/>
      <c r="I330" s="5"/>
      <c r="J330" s="4"/>
      <c r="K330" s="4"/>
      <c r="L330" s="6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3"/>
      <c r="AL330" s="3"/>
      <c r="AM330" s="3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8"/>
      <c r="BU330" s="8"/>
      <c r="BV330" s="8"/>
      <c r="BW330" s="8"/>
      <c r="BX330" s="3"/>
      <c r="BY330" s="3"/>
      <c r="BZ330" s="3"/>
      <c r="CA330" s="8"/>
      <c r="CB330" s="8"/>
      <c r="CC330" s="8"/>
      <c r="CD330" s="8"/>
      <c r="CE330" s="8"/>
      <c r="CF330" s="8"/>
      <c r="CG330" s="9"/>
      <c r="CH330" s="8"/>
      <c r="CI330" s="8"/>
      <c r="CJ330" s="8"/>
      <c r="CK330" s="8"/>
      <c r="CL330" s="8"/>
      <c r="CM330" s="8"/>
      <c r="CN330" s="8"/>
      <c r="CO330" s="8"/>
      <c r="CP330" s="8"/>
      <c r="CQ330" s="9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9"/>
      <c r="DG330" s="9"/>
      <c r="DH330" s="10"/>
      <c r="DI330" s="9"/>
      <c r="DJ330" s="9"/>
      <c r="DK330" s="3"/>
      <c r="DL330" s="3"/>
      <c r="DM330" s="3"/>
    </row>
    <row r="331" ht="11.25" customHeight="1">
      <c r="A331" s="3"/>
      <c r="B331" s="2"/>
      <c r="C331" s="3"/>
      <c r="D331" s="3"/>
      <c r="E331" s="3"/>
      <c r="F331" s="4"/>
      <c r="G331" s="4"/>
      <c r="H331" s="4"/>
      <c r="I331" s="5"/>
      <c r="J331" s="4"/>
      <c r="K331" s="4"/>
      <c r="L331" s="6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3"/>
      <c r="AL331" s="3"/>
      <c r="AM331" s="3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8"/>
      <c r="BU331" s="8"/>
      <c r="BV331" s="8"/>
      <c r="BW331" s="8"/>
      <c r="BX331" s="3"/>
      <c r="BY331" s="3"/>
      <c r="BZ331" s="3"/>
      <c r="CA331" s="8"/>
      <c r="CB331" s="8"/>
      <c r="CC331" s="8"/>
      <c r="CD331" s="8"/>
      <c r="CE331" s="8"/>
      <c r="CF331" s="8"/>
      <c r="CG331" s="9"/>
      <c r="CH331" s="8"/>
      <c r="CI331" s="8"/>
      <c r="CJ331" s="8"/>
      <c r="CK331" s="8"/>
      <c r="CL331" s="8"/>
      <c r="CM331" s="8"/>
      <c r="CN331" s="8"/>
      <c r="CO331" s="8"/>
      <c r="CP331" s="8"/>
      <c r="CQ331" s="9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9"/>
      <c r="DG331" s="9"/>
      <c r="DH331" s="10"/>
      <c r="DI331" s="9"/>
      <c r="DJ331" s="9"/>
      <c r="DK331" s="3"/>
      <c r="DL331" s="3"/>
      <c r="DM331" s="3"/>
    </row>
    <row r="332" ht="11.25" customHeight="1">
      <c r="A332" s="3"/>
      <c r="B332" s="2"/>
      <c r="C332" s="3"/>
      <c r="D332" s="3"/>
      <c r="E332" s="3"/>
      <c r="F332" s="4"/>
      <c r="G332" s="4"/>
      <c r="H332" s="4"/>
      <c r="I332" s="5"/>
      <c r="J332" s="4"/>
      <c r="K332" s="4"/>
      <c r="L332" s="6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3"/>
      <c r="AL332" s="3"/>
      <c r="AM332" s="3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8"/>
      <c r="BU332" s="8"/>
      <c r="BV332" s="8"/>
      <c r="BW332" s="8"/>
      <c r="BX332" s="3"/>
      <c r="BY332" s="3"/>
      <c r="BZ332" s="3"/>
      <c r="CA332" s="8"/>
      <c r="CB332" s="8"/>
      <c r="CC332" s="8"/>
      <c r="CD332" s="8"/>
      <c r="CE332" s="8"/>
      <c r="CF332" s="8"/>
      <c r="CG332" s="9"/>
      <c r="CH332" s="8"/>
      <c r="CI332" s="8"/>
      <c r="CJ332" s="8"/>
      <c r="CK332" s="8"/>
      <c r="CL332" s="8"/>
      <c r="CM332" s="8"/>
      <c r="CN332" s="8"/>
      <c r="CO332" s="8"/>
      <c r="CP332" s="8"/>
      <c r="CQ332" s="9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9"/>
      <c r="DG332" s="9"/>
      <c r="DH332" s="10"/>
      <c r="DI332" s="9"/>
      <c r="DJ332" s="9"/>
      <c r="DK332" s="3"/>
      <c r="DL332" s="3"/>
      <c r="DM332" s="3"/>
    </row>
    <row r="333" ht="11.25" customHeight="1">
      <c r="A333" s="3"/>
      <c r="B333" s="2"/>
      <c r="C333" s="3"/>
      <c r="D333" s="3"/>
      <c r="E333" s="3"/>
      <c r="F333" s="4"/>
      <c r="G333" s="4"/>
      <c r="H333" s="4"/>
      <c r="I333" s="5"/>
      <c r="J333" s="4"/>
      <c r="K333" s="4"/>
      <c r="L333" s="6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3"/>
      <c r="AL333" s="3"/>
      <c r="AM333" s="3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8"/>
      <c r="BU333" s="8"/>
      <c r="BV333" s="8"/>
      <c r="BW333" s="8"/>
      <c r="BX333" s="3"/>
      <c r="BY333" s="3"/>
      <c r="BZ333" s="3"/>
      <c r="CA333" s="8"/>
      <c r="CB333" s="8"/>
      <c r="CC333" s="8"/>
      <c r="CD333" s="8"/>
      <c r="CE333" s="8"/>
      <c r="CF333" s="8"/>
      <c r="CG333" s="9"/>
      <c r="CH333" s="8"/>
      <c r="CI333" s="8"/>
      <c r="CJ333" s="8"/>
      <c r="CK333" s="8"/>
      <c r="CL333" s="8"/>
      <c r="CM333" s="8"/>
      <c r="CN333" s="8"/>
      <c r="CO333" s="8"/>
      <c r="CP333" s="8"/>
      <c r="CQ333" s="9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9"/>
      <c r="DG333" s="9"/>
      <c r="DH333" s="10"/>
      <c r="DI333" s="9"/>
      <c r="DJ333" s="9"/>
      <c r="DK333" s="3"/>
      <c r="DL333" s="3"/>
      <c r="DM333" s="3"/>
    </row>
    <row r="334" ht="11.25" customHeight="1">
      <c r="A334" s="3"/>
      <c r="B334" s="2"/>
      <c r="C334" s="3"/>
      <c r="D334" s="3"/>
      <c r="E334" s="3"/>
      <c r="F334" s="4"/>
      <c r="G334" s="4"/>
      <c r="H334" s="4"/>
      <c r="I334" s="5"/>
      <c r="J334" s="4"/>
      <c r="K334" s="4"/>
      <c r="L334" s="6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3"/>
      <c r="AL334" s="3"/>
      <c r="AM334" s="3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8"/>
      <c r="BU334" s="8"/>
      <c r="BV334" s="8"/>
      <c r="BW334" s="8"/>
      <c r="BX334" s="3"/>
      <c r="BY334" s="3"/>
      <c r="BZ334" s="3"/>
      <c r="CA334" s="8"/>
      <c r="CB334" s="8"/>
      <c r="CC334" s="8"/>
      <c r="CD334" s="8"/>
      <c r="CE334" s="8"/>
      <c r="CF334" s="8"/>
      <c r="CG334" s="9"/>
      <c r="CH334" s="8"/>
      <c r="CI334" s="8"/>
      <c r="CJ334" s="8"/>
      <c r="CK334" s="8"/>
      <c r="CL334" s="8"/>
      <c r="CM334" s="8"/>
      <c r="CN334" s="8"/>
      <c r="CO334" s="8"/>
      <c r="CP334" s="8"/>
      <c r="CQ334" s="9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9"/>
      <c r="DG334" s="9"/>
      <c r="DH334" s="10"/>
      <c r="DI334" s="9"/>
      <c r="DJ334" s="9"/>
      <c r="DK334" s="3"/>
      <c r="DL334" s="3"/>
      <c r="DM334" s="3"/>
    </row>
    <row r="335" ht="11.25" customHeight="1">
      <c r="A335" s="3"/>
      <c r="B335" s="2"/>
      <c r="C335" s="3"/>
      <c r="D335" s="3"/>
      <c r="E335" s="3"/>
      <c r="F335" s="4"/>
      <c r="G335" s="4"/>
      <c r="H335" s="4"/>
      <c r="I335" s="5"/>
      <c r="J335" s="4"/>
      <c r="K335" s="4"/>
      <c r="L335" s="6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3"/>
      <c r="AL335" s="3"/>
      <c r="AM335" s="3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8"/>
      <c r="BU335" s="8"/>
      <c r="BV335" s="8"/>
      <c r="BW335" s="8"/>
      <c r="BX335" s="3"/>
      <c r="BY335" s="3"/>
      <c r="BZ335" s="3"/>
      <c r="CA335" s="8"/>
      <c r="CB335" s="8"/>
      <c r="CC335" s="8"/>
      <c r="CD335" s="8"/>
      <c r="CE335" s="8"/>
      <c r="CF335" s="8"/>
      <c r="CG335" s="9"/>
      <c r="CH335" s="8"/>
      <c r="CI335" s="8"/>
      <c r="CJ335" s="8"/>
      <c r="CK335" s="8"/>
      <c r="CL335" s="8"/>
      <c r="CM335" s="8"/>
      <c r="CN335" s="8"/>
      <c r="CO335" s="8"/>
      <c r="CP335" s="8"/>
      <c r="CQ335" s="9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9"/>
      <c r="DG335" s="9"/>
      <c r="DH335" s="10"/>
      <c r="DI335" s="9"/>
      <c r="DJ335" s="9"/>
      <c r="DK335" s="3"/>
      <c r="DL335" s="3"/>
      <c r="DM335" s="3"/>
    </row>
    <row r="336" ht="11.25" customHeight="1">
      <c r="A336" s="3"/>
      <c r="B336" s="2"/>
      <c r="C336" s="3"/>
      <c r="D336" s="3"/>
      <c r="E336" s="3"/>
      <c r="F336" s="4"/>
      <c r="G336" s="4"/>
      <c r="H336" s="4"/>
      <c r="I336" s="5"/>
      <c r="J336" s="4"/>
      <c r="K336" s="4"/>
      <c r="L336" s="6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3"/>
      <c r="AL336" s="3"/>
      <c r="AM336" s="3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8"/>
      <c r="BU336" s="8"/>
      <c r="BV336" s="8"/>
      <c r="BW336" s="8"/>
      <c r="BX336" s="3"/>
      <c r="BY336" s="3"/>
      <c r="BZ336" s="3"/>
      <c r="CA336" s="8"/>
      <c r="CB336" s="8"/>
      <c r="CC336" s="8"/>
      <c r="CD336" s="8"/>
      <c r="CE336" s="8"/>
      <c r="CF336" s="8"/>
      <c r="CG336" s="9"/>
      <c r="CH336" s="8"/>
      <c r="CI336" s="8"/>
      <c r="CJ336" s="8"/>
      <c r="CK336" s="8"/>
      <c r="CL336" s="8"/>
      <c r="CM336" s="8"/>
      <c r="CN336" s="8"/>
      <c r="CO336" s="8"/>
      <c r="CP336" s="8"/>
      <c r="CQ336" s="9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9"/>
      <c r="DG336" s="9"/>
      <c r="DH336" s="10"/>
      <c r="DI336" s="9"/>
      <c r="DJ336" s="9"/>
      <c r="DK336" s="3"/>
      <c r="DL336" s="3"/>
      <c r="DM336" s="3"/>
    </row>
    <row r="337" ht="11.25" customHeight="1">
      <c r="A337" s="3"/>
      <c r="B337" s="2"/>
      <c r="C337" s="3"/>
      <c r="D337" s="3"/>
      <c r="E337" s="3"/>
      <c r="F337" s="4"/>
      <c r="G337" s="4"/>
      <c r="H337" s="4"/>
      <c r="I337" s="5"/>
      <c r="J337" s="4"/>
      <c r="K337" s="4"/>
      <c r="L337" s="6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3"/>
      <c r="AL337" s="3"/>
      <c r="AM337" s="3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8"/>
      <c r="BU337" s="8"/>
      <c r="BV337" s="8"/>
      <c r="BW337" s="8"/>
      <c r="BX337" s="3"/>
      <c r="BY337" s="3"/>
      <c r="BZ337" s="3"/>
      <c r="CA337" s="8"/>
      <c r="CB337" s="8"/>
      <c r="CC337" s="8"/>
      <c r="CD337" s="8"/>
      <c r="CE337" s="8"/>
      <c r="CF337" s="8"/>
      <c r="CG337" s="9"/>
      <c r="CH337" s="8"/>
      <c r="CI337" s="8"/>
      <c r="CJ337" s="8"/>
      <c r="CK337" s="8"/>
      <c r="CL337" s="8"/>
      <c r="CM337" s="8"/>
      <c r="CN337" s="8"/>
      <c r="CO337" s="8"/>
      <c r="CP337" s="8"/>
      <c r="CQ337" s="9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9"/>
      <c r="DG337" s="9"/>
      <c r="DH337" s="10"/>
      <c r="DI337" s="9"/>
      <c r="DJ337" s="9"/>
      <c r="DK337" s="3"/>
      <c r="DL337" s="3"/>
      <c r="DM337" s="3"/>
    </row>
    <row r="338" ht="11.25" customHeight="1">
      <c r="A338" s="3"/>
      <c r="B338" s="2"/>
      <c r="C338" s="3"/>
      <c r="D338" s="3"/>
      <c r="E338" s="3"/>
      <c r="F338" s="4"/>
      <c r="G338" s="4"/>
      <c r="H338" s="4"/>
      <c r="I338" s="5"/>
      <c r="J338" s="4"/>
      <c r="K338" s="4"/>
      <c r="L338" s="6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3"/>
      <c r="AL338" s="3"/>
      <c r="AM338" s="3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8"/>
      <c r="BU338" s="8"/>
      <c r="BV338" s="8"/>
      <c r="BW338" s="8"/>
      <c r="BX338" s="3"/>
      <c r="BY338" s="3"/>
      <c r="BZ338" s="3"/>
      <c r="CA338" s="8"/>
      <c r="CB338" s="8"/>
      <c r="CC338" s="8"/>
      <c r="CD338" s="8"/>
      <c r="CE338" s="8"/>
      <c r="CF338" s="8"/>
      <c r="CG338" s="9"/>
      <c r="CH338" s="8"/>
      <c r="CI338" s="8"/>
      <c r="CJ338" s="8"/>
      <c r="CK338" s="8"/>
      <c r="CL338" s="8"/>
      <c r="CM338" s="8"/>
      <c r="CN338" s="8"/>
      <c r="CO338" s="8"/>
      <c r="CP338" s="8"/>
      <c r="CQ338" s="9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9"/>
      <c r="DG338" s="9"/>
      <c r="DH338" s="10"/>
      <c r="DI338" s="9"/>
      <c r="DJ338" s="9"/>
      <c r="DK338" s="3"/>
      <c r="DL338" s="3"/>
      <c r="DM338" s="3"/>
    </row>
    <row r="339" ht="11.25" customHeight="1">
      <c r="A339" s="3"/>
      <c r="B339" s="2"/>
      <c r="C339" s="3"/>
      <c r="D339" s="3"/>
      <c r="E339" s="3"/>
      <c r="F339" s="4"/>
      <c r="G339" s="4"/>
      <c r="H339" s="4"/>
      <c r="I339" s="5"/>
      <c r="J339" s="4"/>
      <c r="K339" s="4"/>
      <c r="L339" s="6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3"/>
      <c r="AL339" s="3"/>
      <c r="AM339" s="3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8"/>
      <c r="BU339" s="8"/>
      <c r="BV339" s="8"/>
      <c r="BW339" s="8"/>
      <c r="BX339" s="3"/>
      <c r="BY339" s="3"/>
      <c r="BZ339" s="3"/>
      <c r="CA339" s="8"/>
      <c r="CB339" s="8"/>
      <c r="CC339" s="8"/>
      <c r="CD339" s="8"/>
      <c r="CE339" s="8"/>
      <c r="CF339" s="8"/>
      <c r="CG339" s="9"/>
      <c r="CH339" s="8"/>
      <c r="CI339" s="8"/>
      <c r="CJ339" s="8"/>
      <c r="CK339" s="8"/>
      <c r="CL339" s="8"/>
      <c r="CM339" s="8"/>
      <c r="CN339" s="8"/>
      <c r="CO339" s="8"/>
      <c r="CP339" s="8"/>
      <c r="CQ339" s="9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9"/>
      <c r="DG339" s="9"/>
      <c r="DH339" s="10"/>
      <c r="DI339" s="9"/>
      <c r="DJ339" s="9"/>
      <c r="DK339" s="3"/>
      <c r="DL339" s="3"/>
      <c r="DM339" s="3"/>
    </row>
    <row r="340" ht="11.25" customHeight="1">
      <c r="A340" s="3"/>
      <c r="B340" s="2"/>
      <c r="C340" s="3"/>
      <c r="D340" s="3"/>
      <c r="E340" s="3"/>
      <c r="F340" s="4"/>
      <c r="G340" s="4"/>
      <c r="H340" s="4"/>
      <c r="I340" s="5"/>
      <c r="J340" s="4"/>
      <c r="K340" s="4"/>
      <c r="L340" s="6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3"/>
      <c r="AL340" s="3"/>
      <c r="AM340" s="3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8"/>
      <c r="BU340" s="8"/>
      <c r="BV340" s="8"/>
      <c r="BW340" s="8"/>
      <c r="BX340" s="3"/>
      <c r="BY340" s="3"/>
      <c r="BZ340" s="3"/>
      <c r="CA340" s="8"/>
      <c r="CB340" s="8"/>
      <c r="CC340" s="8"/>
      <c r="CD340" s="8"/>
      <c r="CE340" s="8"/>
      <c r="CF340" s="8"/>
      <c r="CG340" s="9"/>
      <c r="CH340" s="8"/>
      <c r="CI340" s="8"/>
      <c r="CJ340" s="8"/>
      <c r="CK340" s="8"/>
      <c r="CL340" s="8"/>
      <c r="CM340" s="8"/>
      <c r="CN340" s="8"/>
      <c r="CO340" s="8"/>
      <c r="CP340" s="8"/>
      <c r="CQ340" s="9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9"/>
      <c r="DG340" s="9"/>
      <c r="DH340" s="10"/>
      <c r="DI340" s="9"/>
      <c r="DJ340" s="9"/>
      <c r="DK340" s="3"/>
      <c r="DL340" s="3"/>
      <c r="DM340" s="3"/>
    </row>
    <row r="341" ht="11.25" customHeight="1">
      <c r="A341" s="3"/>
      <c r="B341" s="2"/>
      <c r="C341" s="3"/>
      <c r="D341" s="3"/>
      <c r="E341" s="3"/>
      <c r="F341" s="4"/>
      <c r="G341" s="4"/>
      <c r="H341" s="4"/>
      <c r="I341" s="5"/>
      <c r="J341" s="4"/>
      <c r="K341" s="4"/>
      <c r="L341" s="6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3"/>
      <c r="AL341" s="3"/>
      <c r="AM341" s="3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8"/>
      <c r="BU341" s="8"/>
      <c r="BV341" s="8"/>
      <c r="BW341" s="8"/>
      <c r="BX341" s="3"/>
      <c r="BY341" s="3"/>
      <c r="BZ341" s="3"/>
      <c r="CA341" s="8"/>
      <c r="CB341" s="8"/>
      <c r="CC341" s="8"/>
      <c r="CD341" s="8"/>
      <c r="CE341" s="8"/>
      <c r="CF341" s="8"/>
      <c r="CG341" s="9"/>
      <c r="CH341" s="8"/>
      <c r="CI341" s="8"/>
      <c r="CJ341" s="8"/>
      <c r="CK341" s="8"/>
      <c r="CL341" s="8"/>
      <c r="CM341" s="8"/>
      <c r="CN341" s="8"/>
      <c r="CO341" s="8"/>
      <c r="CP341" s="8"/>
      <c r="CQ341" s="9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9"/>
      <c r="DG341" s="9"/>
      <c r="DH341" s="10"/>
      <c r="DI341" s="9"/>
      <c r="DJ341" s="9"/>
      <c r="DK341" s="3"/>
      <c r="DL341" s="3"/>
      <c r="DM341" s="3"/>
    </row>
    <row r="342" ht="11.25" customHeight="1">
      <c r="A342" s="3"/>
      <c r="B342" s="2"/>
      <c r="C342" s="3"/>
      <c r="D342" s="3"/>
      <c r="E342" s="3"/>
      <c r="F342" s="4"/>
      <c r="G342" s="4"/>
      <c r="H342" s="4"/>
      <c r="I342" s="5"/>
      <c r="J342" s="4"/>
      <c r="K342" s="4"/>
      <c r="L342" s="6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3"/>
      <c r="AL342" s="3"/>
      <c r="AM342" s="3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8"/>
      <c r="BU342" s="8"/>
      <c r="BV342" s="8"/>
      <c r="BW342" s="8"/>
      <c r="BX342" s="3"/>
      <c r="BY342" s="3"/>
      <c r="BZ342" s="3"/>
      <c r="CA342" s="8"/>
      <c r="CB342" s="8"/>
      <c r="CC342" s="8"/>
      <c r="CD342" s="8"/>
      <c r="CE342" s="8"/>
      <c r="CF342" s="8"/>
      <c r="CG342" s="9"/>
      <c r="CH342" s="8"/>
      <c r="CI342" s="8"/>
      <c r="CJ342" s="8"/>
      <c r="CK342" s="8"/>
      <c r="CL342" s="8"/>
      <c r="CM342" s="8"/>
      <c r="CN342" s="8"/>
      <c r="CO342" s="8"/>
      <c r="CP342" s="8"/>
      <c r="CQ342" s="9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9"/>
      <c r="DG342" s="9"/>
      <c r="DH342" s="10"/>
      <c r="DI342" s="9"/>
      <c r="DJ342" s="9"/>
      <c r="DK342" s="3"/>
      <c r="DL342" s="3"/>
      <c r="DM342" s="3"/>
    </row>
    <row r="343" ht="11.25" customHeight="1">
      <c r="A343" s="3"/>
      <c r="B343" s="2"/>
      <c r="C343" s="3"/>
      <c r="D343" s="3"/>
      <c r="E343" s="3"/>
      <c r="F343" s="4"/>
      <c r="G343" s="4"/>
      <c r="H343" s="4"/>
      <c r="I343" s="5"/>
      <c r="J343" s="4"/>
      <c r="K343" s="4"/>
      <c r="L343" s="6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3"/>
      <c r="AL343" s="3"/>
      <c r="AM343" s="3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8"/>
      <c r="BU343" s="8"/>
      <c r="BV343" s="8"/>
      <c r="BW343" s="8"/>
      <c r="BX343" s="3"/>
      <c r="BY343" s="3"/>
      <c r="BZ343" s="3"/>
      <c r="CA343" s="8"/>
      <c r="CB343" s="8"/>
      <c r="CC343" s="8"/>
      <c r="CD343" s="8"/>
      <c r="CE343" s="8"/>
      <c r="CF343" s="8"/>
      <c r="CG343" s="9"/>
      <c r="CH343" s="8"/>
      <c r="CI343" s="8"/>
      <c r="CJ343" s="8"/>
      <c r="CK343" s="8"/>
      <c r="CL343" s="8"/>
      <c r="CM343" s="8"/>
      <c r="CN343" s="8"/>
      <c r="CO343" s="8"/>
      <c r="CP343" s="8"/>
      <c r="CQ343" s="9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9"/>
      <c r="DG343" s="9"/>
      <c r="DH343" s="10"/>
      <c r="DI343" s="9"/>
      <c r="DJ343" s="9"/>
      <c r="DK343" s="3"/>
      <c r="DL343" s="3"/>
      <c r="DM343" s="3"/>
    </row>
    <row r="344" ht="11.25" customHeight="1">
      <c r="A344" s="3"/>
      <c r="B344" s="2"/>
      <c r="C344" s="3"/>
      <c r="D344" s="3"/>
      <c r="E344" s="3"/>
      <c r="F344" s="4"/>
      <c r="G344" s="4"/>
      <c r="H344" s="4"/>
      <c r="I344" s="5"/>
      <c r="J344" s="4"/>
      <c r="K344" s="4"/>
      <c r="L344" s="6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3"/>
      <c r="AL344" s="3"/>
      <c r="AM344" s="3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8"/>
      <c r="BU344" s="8"/>
      <c r="BV344" s="8"/>
      <c r="BW344" s="8"/>
      <c r="BX344" s="3"/>
      <c r="BY344" s="3"/>
      <c r="BZ344" s="3"/>
      <c r="CA344" s="8"/>
      <c r="CB344" s="8"/>
      <c r="CC344" s="8"/>
      <c r="CD344" s="8"/>
      <c r="CE344" s="8"/>
      <c r="CF344" s="8"/>
      <c r="CG344" s="9"/>
      <c r="CH344" s="8"/>
      <c r="CI344" s="8"/>
      <c r="CJ344" s="8"/>
      <c r="CK344" s="8"/>
      <c r="CL344" s="8"/>
      <c r="CM344" s="8"/>
      <c r="CN344" s="8"/>
      <c r="CO344" s="8"/>
      <c r="CP344" s="8"/>
      <c r="CQ344" s="9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9"/>
      <c r="DG344" s="9"/>
      <c r="DH344" s="10"/>
      <c r="DI344" s="9"/>
      <c r="DJ344" s="9"/>
      <c r="DK344" s="3"/>
      <c r="DL344" s="3"/>
      <c r="DM344" s="3"/>
    </row>
    <row r="345" ht="11.25" customHeight="1">
      <c r="A345" s="3"/>
      <c r="B345" s="2"/>
      <c r="C345" s="3"/>
      <c r="D345" s="3"/>
      <c r="E345" s="3"/>
      <c r="F345" s="4"/>
      <c r="G345" s="4"/>
      <c r="H345" s="4"/>
      <c r="I345" s="5"/>
      <c r="J345" s="4"/>
      <c r="K345" s="4"/>
      <c r="L345" s="6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3"/>
      <c r="AL345" s="3"/>
      <c r="AM345" s="3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8"/>
      <c r="BU345" s="8"/>
      <c r="BV345" s="8"/>
      <c r="BW345" s="8"/>
      <c r="BX345" s="3"/>
      <c r="BY345" s="3"/>
      <c r="BZ345" s="3"/>
      <c r="CA345" s="8"/>
      <c r="CB345" s="8"/>
      <c r="CC345" s="8"/>
      <c r="CD345" s="8"/>
      <c r="CE345" s="8"/>
      <c r="CF345" s="8"/>
      <c r="CG345" s="9"/>
      <c r="CH345" s="8"/>
      <c r="CI345" s="8"/>
      <c r="CJ345" s="8"/>
      <c r="CK345" s="8"/>
      <c r="CL345" s="8"/>
      <c r="CM345" s="8"/>
      <c r="CN345" s="8"/>
      <c r="CO345" s="8"/>
      <c r="CP345" s="8"/>
      <c r="CQ345" s="9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9"/>
      <c r="DG345" s="9"/>
      <c r="DH345" s="10"/>
      <c r="DI345" s="9"/>
      <c r="DJ345" s="9"/>
      <c r="DK345" s="3"/>
      <c r="DL345" s="3"/>
      <c r="DM345" s="3"/>
    </row>
    <row r="346" ht="11.25" customHeight="1">
      <c r="A346" s="3"/>
      <c r="B346" s="2"/>
      <c r="C346" s="3"/>
      <c r="D346" s="3"/>
      <c r="E346" s="3"/>
      <c r="F346" s="4"/>
      <c r="G346" s="4"/>
      <c r="H346" s="4"/>
      <c r="I346" s="5"/>
      <c r="J346" s="4"/>
      <c r="K346" s="4"/>
      <c r="L346" s="6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3"/>
      <c r="AL346" s="3"/>
      <c r="AM346" s="3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8"/>
      <c r="BU346" s="8"/>
      <c r="BV346" s="8"/>
      <c r="BW346" s="8"/>
      <c r="BX346" s="3"/>
      <c r="BY346" s="3"/>
      <c r="BZ346" s="3"/>
      <c r="CA346" s="8"/>
      <c r="CB346" s="8"/>
      <c r="CC346" s="8"/>
      <c r="CD346" s="8"/>
      <c r="CE346" s="8"/>
      <c r="CF346" s="8"/>
      <c r="CG346" s="9"/>
      <c r="CH346" s="8"/>
      <c r="CI346" s="8"/>
      <c r="CJ346" s="8"/>
      <c r="CK346" s="8"/>
      <c r="CL346" s="8"/>
      <c r="CM346" s="8"/>
      <c r="CN346" s="8"/>
      <c r="CO346" s="8"/>
      <c r="CP346" s="8"/>
      <c r="CQ346" s="9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9"/>
      <c r="DG346" s="9"/>
      <c r="DH346" s="10"/>
      <c r="DI346" s="9"/>
      <c r="DJ346" s="9"/>
      <c r="DK346" s="3"/>
      <c r="DL346" s="3"/>
      <c r="DM346" s="3"/>
    </row>
    <row r="347" ht="11.25" customHeight="1">
      <c r="A347" s="3"/>
      <c r="B347" s="2"/>
      <c r="C347" s="3"/>
      <c r="D347" s="3"/>
      <c r="E347" s="3"/>
      <c r="F347" s="4"/>
      <c r="G347" s="4"/>
      <c r="H347" s="4"/>
      <c r="I347" s="5"/>
      <c r="J347" s="4"/>
      <c r="K347" s="4"/>
      <c r="L347" s="6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3"/>
      <c r="AL347" s="3"/>
      <c r="AM347" s="3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8"/>
      <c r="BU347" s="8"/>
      <c r="BV347" s="8"/>
      <c r="BW347" s="8"/>
      <c r="BX347" s="3"/>
      <c r="BY347" s="3"/>
      <c r="BZ347" s="3"/>
      <c r="CA347" s="8"/>
      <c r="CB347" s="8"/>
      <c r="CC347" s="8"/>
      <c r="CD347" s="8"/>
      <c r="CE347" s="8"/>
      <c r="CF347" s="8"/>
      <c r="CG347" s="9"/>
      <c r="CH347" s="8"/>
      <c r="CI347" s="8"/>
      <c r="CJ347" s="8"/>
      <c r="CK347" s="8"/>
      <c r="CL347" s="8"/>
      <c r="CM347" s="8"/>
      <c r="CN347" s="8"/>
      <c r="CO347" s="8"/>
      <c r="CP347" s="8"/>
      <c r="CQ347" s="9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9"/>
      <c r="DG347" s="9"/>
      <c r="DH347" s="10"/>
      <c r="DI347" s="9"/>
      <c r="DJ347" s="9"/>
      <c r="DK347" s="3"/>
      <c r="DL347" s="3"/>
      <c r="DM347" s="3"/>
    </row>
    <row r="348" ht="11.25" customHeight="1">
      <c r="A348" s="3"/>
      <c r="B348" s="2"/>
      <c r="C348" s="3"/>
      <c r="D348" s="3"/>
      <c r="E348" s="3"/>
      <c r="F348" s="4"/>
      <c r="G348" s="4"/>
      <c r="H348" s="4"/>
      <c r="I348" s="5"/>
      <c r="J348" s="4"/>
      <c r="K348" s="4"/>
      <c r="L348" s="6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3"/>
      <c r="AL348" s="3"/>
      <c r="AM348" s="3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8"/>
      <c r="BU348" s="8"/>
      <c r="BV348" s="8"/>
      <c r="BW348" s="8"/>
      <c r="BX348" s="3"/>
      <c r="BY348" s="3"/>
      <c r="BZ348" s="3"/>
      <c r="CA348" s="8"/>
      <c r="CB348" s="8"/>
      <c r="CC348" s="8"/>
      <c r="CD348" s="8"/>
      <c r="CE348" s="8"/>
      <c r="CF348" s="8"/>
      <c r="CG348" s="9"/>
      <c r="CH348" s="8"/>
      <c r="CI348" s="8"/>
      <c r="CJ348" s="8"/>
      <c r="CK348" s="8"/>
      <c r="CL348" s="8"/>
      <c r="CM348" s="8"/>
      <c r="CN348" s="8"/>
      <c r="CO348" s="8"/>
      <c r="CP348" s="8"/>
      <c r="CQ348" s="9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9"/>
      <c r="DG348" s="9"/>
      <c r="DH348" s="10"/>
      <c r="DI348" s="9"/>
      <c r="DJ348" s="9"/>
      <c r="DK348" s="3"/>
      <c r="DL348" s="3"/>
      <c r="DM348" s="3"/>
    </row>
    <row r="349" ht="11.25" customHeight="1">
      <c r="A349" s="3"/>
      <c r="B349" s="2"/>
      <c r="C349" s="3"/>
      <c r="D349" s="3"/>
      <c r="E349" s="3"/>
      <c r="F349" s="4"/>
      <c r="G349" s="4"/>
      <c r="H349" s="4"/>
      <c r="I349" s="5"/>
      <c r="J349" s="4"/>
      <c r="K349" s="4"/>
      <c r="L349" s="6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3"/>
      <c r="AL349" s="3"/>
      <c r="AM349" s="3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8"/>
      <c r="BU349" s="8"/>
      <c r="BV349" s="8"/>
      <c r="BW349" s="8"/>
      <c r="BX349" s="3"/>
      <c r="BY349" s="3"/>
      <c r="BZ349" s="3"/>
      <c r="CA349" s="8"/>
      <c r="CB349" s="8"/>
      <c r="CC349" s="8"/>
      <c r="CD349" s="8"/>
      <c r="CE349" s="8"/>
      <c r="CF349" s="8"/>
      <c r="CG349" s="9"/>
      <c r="CH349" s="8"/>
      <c r="CI349" s="8"/>
      <c r="CJ349" s="8"/>
      <c r="CK349" s="8"/>
      <c r="CL349" s="8"/>
      <c r="CM349" s="8"/>
      <c r="CN349" s="8"/>
      <c r="CO349" s="8"/>
      <c r="CP349" s="8"/>
      <c r="CQ349" s="9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9"/>
      <c r="DG349" s="9"/>
      <c r="DH349" s="10"/>
      <c r="DI349" s="9"/>
      <c r="DJ349" s="9"/>
      <c r="DK349" s="3"/>
      <c r="DL349" s="3"/>
      <c r="DM349" s="3"/>
    </row>
    <row r="350" ht="11.25" customHeight="1">
      <c r="A350" s="3"/>
      <c r="B350" s="2"/>
      <c r="C350" s="3"/>
      <c r="D350" s="3"/>
      <c r="E350" s="3"/>
      <c r="F350" s="4"/>
      <c r="G350" s="4"/>
      <c r="H350" s="4"/>
      <c r="I350" s="5"/>
      <c r="J350" s="4"/>
      <c r="K350" s="4"/>
      <c r="L350" s="6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3"/>
      <c r="AL350" s="3"/>
      <c r="AM350" s="3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8"/>
      <c r="BU350" s="8"/>
      <c r="BV350" s="8"/>
      <c r="BW350" s="8"/>
      <c r="BX350" s="3"/>
      <c r="BY350" s="3"/>
      <c r="BZ350" s="3"/>
      <c r="CA350" s="8"/>
      <c r="CB350" s="8"/>
      <c r="CC350" s="8"/>
      <c r="CD350" s="8"/>
      <c r="CE350" s="8"/>
      <c r="CF350" s="8"/>
      <c r="CG350" s="9"/>
      <c r="CH350" s="8"/>
      <c r="CI350" s="8"/>
      <c r="CJ350" s="8"/>
      <c r="CK350" s="8"/>
      <c r="CL350" s="8"/>
      <c r="CM350" s="8"/>
      <c r="CN350" s="8"/>
      <c r="CO350" s="8"/>
      <c r="CP350" s="8"/>
      <c r="CQ350" s="9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9"/>
      <c r="DG350" s="9"/>
      <c r="DH350" s="10"/>
      <c r="DI350" s="9"/>
      <c r="DJ350" s="9"/>
      <c r="DK350" s="3"/>
      <c r="DL350" s="3"/>
      <c r="DM350" s="3"/>
    </row>
    <row r="351" ht="11.25" customHeight="1">
      <c r="A351" s="3"/>
      <c r="B351" s="2"/>
      <c r="C351" s="3"/>
      <c r="D351" s="3"/>
      <c r="E351" s="3"/>
      <c r="F351" s="4"/>
      <c r="G351" s="4"/>
      <c r="H351" s="4"/>
      <c r="I351" s="5"/>
      <c r="J351" s="4"/>
      <c r="K351" s="4"/>
      <c r="L351" s="6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3"/>
      <c r="AL351" s="3"/>
      <c r="AM351" s="3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8"/>
      <c r="BU351" s="8"/>
      <c r="BV351" s="8"/>
      <c r="BW351" s="8"/>
      <c r="BX351" s="3"/>
      <c r="BY351" s="3"/>
      <c r="BZ351" s="3"/>
      <c r="CA351" s="8"/>
      <c r="CB351" s="8"/>
      <c r="CC351" s="8"/>
      <c r="CD351" s="8"/>
      <c r="CE351" s="8"/>
      <c r="CF351" s="8"/>
      <c r="CG351" s="9"/>
      <c r="CH351" s="8"/>
      <c r="CI351" s="8"/>
      <c r="CJ351" s="8"/>
      <c r="CK351" s="8"/>
      <c r="CL351" s="8"/>
      <c r="CM351" s="8"/>
      <c r="CN351" s="8"/>
      <c r="CO351" s="8"/>
      <c r="CP351" s="8"/>
      <c r="CQ351" s="9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9"/>
      <c r="DG351" s="9"/>
      <c r="DH351" s="10"/>
      <c r="DI351" s="9"/>
      <c r="DJ351" s="9"/>
      <c r="DK351" s="3"/>
      <c r="DL351" s="3"/>
      <c r="DM351" s="3"/>
    </row>
    <row r="352" ht="11.25" customHeight="1">
      <c r="A352" s="3"/>
      <c r="B352" s="2"/>
      <c r="C352" s="3"/>
      <c r="D352" s="3"/>
      <c r="E352" s="3"/>
      <c r="F352" s="4"/>
      <c r="G352" s="4"/>
      <c r="H352" s="4"/>
      <c r="I352" s="5"/>
      <c r="J352" s="4"/>
      <c r="K352" s="4"/>
      <c r="L352" s="6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3"/>
      <c r="AL352" s="3"/>
      <c r="AM352" s="3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8"/>
      <c r="BU352" s="8"/>
      <c r="BV352" s="8"/>
      <c r="BW352" s="8"/>
      <c r="BX352" s="3"/>
      <c r="BY352" s="3"/>
      <c r="BZ352" s="3"/>
      <c r="CA352" s="8"/>
      <c r="CB352" s="8"/>
      <c r="CC352" s="8"/>
      <c r="CD352" s="8"/>
      <c r="CE352" s="8"/>
      <c r="CF352" s="8"/>
      <c r="CG352" s="9"/>
      <c r="CH352" s="8"/>
      <c r="CI352" s="8"/>
      <c r="CJ352" s="8"/>
      <c r="CK352" s="8"/>
      <c r="CL352" s="8"/>
      <c r="CM352" s="8"/>
      <c r="CN352" s="8"/>
      <c r="CO352" s="8"/>
      <c r="CP352" s="8"/>
      <c r="CQ352" s="9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9"/>
      <c r="DG352" s="9"/>
      <c r="DH352" s="10"/>
      <c r="DI352" s="9"/>
      <c r="DJ352" s="9"/>
      <c r="DK352" s="3"/>
      <c r="DL352" s="3"/>
      <c r="DM352" s="3"/>
    </row>
    <row r="353" ht="11.25" customHeight="1">
      <c r="A353" s="3"/>
      <c r="B353" s="2"/>
      <c r="C353" s="3"/>
      <c r="D353" s="3"/>
      <c r="E353" s="3"/>
      <c r="F353" s="4"/>
      <c r="G353" s="4"/>
      <c r="H353" s="4"/>
      <c r="I353" s="5"/>
      <c r="J353" s="4"/>
      <c r="K353" s="4"/>
      <c r="L353" s="6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3"/>
      <c r="AL353" s="3"/>
      <c r="AM353" s="3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8"/>
      <c r="BU353" s="8"/>
      <c r="BV353" s="8"/>
      <c r="BW353" s="8"/>
      <c r="BX353" s="3"/>
      <c r="BY353" s="3"/>
      <c r="BZ353" s="3"/>
      <c r="CA353" s="8"/>
      <c r="CB353" s="8"/>
      <c r="CC353" s="8"/>
      <c r="CD353" s="8"/>
      <c r="CE353" s="8"/>
      <c r="CF353" s="8"/>
      <c r="CG353" s="9"/>
      <c r="CH353" s="8"/>
      <c r="CI353" s="8"/>
      <c r="CJ353" s="8"/>
      <c r="CK353" s="8"/>
      <c r="CL353" s="8"/>
      <c r="CM353" s="8"/>
      <c r="CN353" s="8"/>
      <c r="CO353" s="8"/>
      <c r="CP353" s="8"/>
      <c r="CQ353" s="9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9"/>
      <c r="DG353" s="9"/>
      <c r="DH353" s="10"/>
      <c r="DI353" s="9"/>
      <c r="DJ353" s="9"/>
      <c r="DK353" s="3"/>
      <c r="DL353" s="3"/>
      <c r="DM353" s="3"/>
    </row>
    <row r="354" ht="11.25" customHeight="1">
      <c r="A354" s="3"/>
      <c r="B354" s="2"/>
      <c r="C354" s="3"/>
      <c r="D354" s="3"/>
      <c r="E354" s="3"/>
      <c r="F354" s="4"/>
      <c r="G354" s="4"/>
      <c r="H354" s="4"/>
      <c r="I354" s="5"/>
      <c r="J354" s="4"/>
      <c r="K354" s="4"/>
      <c r="L354" s="6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3"/>
      <c r="AL354" s="3"/>
      <c r="AM354" s="3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8"/>
      <c r="BU354" s="8"/>
      <c r="BV354" s="8"/>
      <c r="BW354" s="8"/>
      <c r="BX354" s="3"/>
      <c r="BY354" s="3"/>
      <c r="BZ354" s="3"/>
      <c r="CA354" s="8"/>
      <c r="CB354" s="8"/>
      <c r="CC354" s="8"/>
      <c r="CD354" s="8"/>
      <c r="CE354" s="8"/>
      <c r="CF354" s="8"/>
      <c r="CG354" s="9"/>
      <c r="CH354" s="8"/>
      <c r="CI354" s="8"/>
      <c r="CJ354" s="8"/>
      <c r="CK354" s="8"/>
      <c r="CL354" s="8"/>
      <c r="CM354" s="8"/>
      <c r="CN354" s="8"/>
      <c r="CO354" s="8"/>
      <c r="CP354" s="8"/>
      <c r="CQ354" s="9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9"/>
      <c r="DG354" s="9"/>
      <c r="DH354" s="10"/>
      <c r="DI354" s="9"/>
      <c r="DJ354" s="9"/>
      <c r="DK354" s="3"/>
      <c r="DL354" s="3"/>
      <c r="DM354" s="3"/>
    </row>
    <row r="355" ht="11.25" customHeight="1">
      <c r="A355" s="3"/>
      <c r="B355" s="2"/>
      <c r="C355" s="3"/>
      <c r="D355" s="3"/>
      <c r="E355" s="3"/>
      <c r="F355" s="4"/>
      <c r="G355" s="4"/>
      <c r="H355" s="4"/>
      <c r="I355" s="5"/>
      <c r="J355" s="4"/>
      <c r="K355" s="4"/>
      <c r="L355" s="6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3"/>
      <c r="AL355" s="3"/>
      <c r="AM355" s="3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8"/>
      <c r="BU355" s="8"/>
      <c r="BV355" s="8"/>
      <c r="BW355" s="8"/>
      <c r="BX355" s="3"/>
      <c r="BY355" s="3"/>
      <c r="BZ355" s="3"/>
      <c r="CA355" s="8"/>
      <c r="CB355" s="8"/>
      <c r="CC355" s="8"/>
      <c r="CD355" s="8"/>
      <c r="CE355" s="8"/>
      <c r="CF355" s="8"/>
      <c r="CG355" s="9"/>
      <c r="CH355" s="8"/>
      <c r="CI355" s="8"/>
      <c r="CJ355" s="8"/>
      <c r="CK355" s="8"/>
      <c r="CL355" s="8"/>
      <c r="CM355" s="8"/>
      <c r="CN355" s="8"/>
      <c r="CO355" s="8"/>
      <c r="CP355" s="8"/>
      <c r="CQ355" s="9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9"/>
      <c r="DG355" s="9"/>
      <c r="DH355" s="10"/>
      <c r="DI355" s="9"/>
      <c r="DJ355" s="9"/>
      <c r="DK355" s="3"/>
      <c r="DL355" s="3"/>
      <c r="DM355" s="3"/>
    </row>
    <row r="356" ht="11.25" customHeight="1">
      <c r="A356" s="3"/>
      <c r="B356" s="2"/>
      <c r="C356" s="3"/>
      <c r="D356" s="3"/>
      <c r="E356" s="3"/>
      <c r="F356" s="4"/>
      <c r="G356" s="4"/>
      <c r="H356" s="4"/>
      <c r="I356" s="5"/>
      <c r="J356" s="4"/>
      <c r="K356" s="4"/>
      <c r="L356" s="6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3"/>
      <c r="AL356" s="3"/>
      <c r="AM356" s="3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8"/>
      <c r="BU356" s="8"/>
      <c r="BV356" s="8"/>
      <c r="BW356" s="8"/>
      <c r="BX356" s="3"/>
      <c r="BY356" s="3"/>
      <c r="BZ356" s="3"/>
      <c r="CA356" s="8"/>
      <c r="CB356" s="8"/>
      <c r="CC356" s="8"/>
      <c r="CD356" s="8"/>
      <c r="CE356" s="8"/>
      <c r="CF356" s="8"/>
      <c r="CG356" s="9"/>
      <c r="CH356" s="8"/>
      <c r="CI356" s="8"/>
      <c r="CJ356" s="8"/>
      <c r="CK356" s="8"/>
      <c r="CL356" s="8"/>
      <c r="CM356" s="8"/>
      <c r="CN356" s="8"/>
      <c r="CO356" s="8"/>
      <c r="CP356" s="8"/>
      <c r="CQ356" s="9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9"/>
      <c r="DG356" s="9"/>
      <c r="DH356" s="10"/>
      <c r="DI356" s="9"/>
      <c r="DJ356" s="9"/>
      <c r="DK356" s="3"/>
      <c r="DL356" s="3"/>
      <c r="DM356" s="3"/>
    </row>
    <row r="357" ht="11.25" customHeight="1">
      <c r="A357" s="3"/>
      <c r="B357" s="2"/>
      <c r="C357" s="3"/>
      <c r="D357" s="3"/>
      <c r="E357" s="3"/>
      <c r="F357" s="4"/>
      <c r="G357" s="4"/>
      <c r="H357" s="4"/>
      <c r="I357" s="5"/>
      <c r="J357" s="4"/>
      <c r="K357" s="4"/>
      <c r="L357" s="6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3"/>
      <c r="AL357" s="3"/>
      <c r="AM357" s="3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8"/>
      <c r="BU357" s="8"/>
      <c r="BV357" s="8"/>
      <c r="BW357" s="8"/>
      <c r="BX357" s="3"/>
      <c r="BY357" s="3"/>
      <c r="BZ357" s="3"/>
      <c r="CA357" s="8"/>
      <c r="CB357" s="8"/>
      <c r="CC357" s="8"/>
      <c r="CD357" s="8"/>
      <c r="CE357" s="8"/>
      <c r="CF357" s="8"/>
      <c r="CG357" s="9"/>
      <c r="CH357" s="8"/>
      <c r="CI357" s="8"/>
      <c r="CJ357" s="8"/>
      <c r="CK357" s="8"/>
      <c r="CL357" s="8"/>
      <c r="CM357" s="8"/>
      <c r="CN357" s="8"/>
      <c r="CO357" s="8"/>
      <c r="CP357" s="8"/>
      <c r="CQ357" s="9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9"/>
      <c r="DG357" s="9"/>
      <c r="DH357" s="10"/>
      <c r="DI357" s="9"/>
      <c r="DJ357" s="9"/>
      <c r="DK357" s="3"/>
      <c r="DL357" s="3"/>
      <c r="DM357" s="3"/>
    </row>
    <row r="358" ht="11.25" customHeight="1">
      <c r="A358" s="3"/>
      <c r="B358" s="2"/>
      <c r="C358" s="3"/>
      <c r="D358" s="3"/>
      <c r="E358" s="3"/>
      <c r="F358" s="4"/>
      <c r="G358" s="4"/>
      <c r="H358" s="4"/>
      <c r="I358" s="5"/>
      <c r="J358" s="4"/>
      <c r="K358" s="4"/>
      <c r="L358" s="6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3"/>
      <c r="AL358" s="3"/>
      <c r="AM358" s="3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8"/>
      <c r="BU358" s="8"/>
      <c r="BV358" s="8"/>
      <c r="BW358" s="8"/>
      <c r="BX358" s="3"/>
      <c r="BY358" s="3"/>
      <c r="BZ358" s="3"/>
      <c r="CA358" s="8"/>
      <c r="CB358" s="8"/>
      <c r="CC358" s="8"/>
      <c r="CD358" s="8"/>
      <c r="CE358" s="8"/>
      <c r="CF358" s="8"/>
      <c r="CG358" s="9"/>
      <c r="CH358" s="8"/>
      <c r="CI358" s="8"/>
      <c r="CJ358" s="8"/>
      <c r="CK358" s="8"/>
      <c r="CL358" s="8"/>
      <c r="CM358" s="8"/>
      <c r="CN358" s="8"/>
      <c r="CO358" s="8"/>
      <c r="CP358" s="8"/>
      <c r="CQ358" s="9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9"/>
      <c r="DG358" s="9"/>
      <c r="DH358" s="10"/>
      <c r="DI358" s="9"/>
      <c r="DJ358" s="9"/>
      <c r="DK358" s="3"/>
      <c r="DL358" s="3"/>
      <c r="DM358" s="3"/>
    </row>
    <row r="359" ht="11.25" customHeight="1">
      <c r="A359" s="3"/>
      <c r="B359" s="2"/>
      <c r="C359" s="3"/>
      <c r="D359" s="3"/>
      <c r="E359" s="3"/>
      <c r="F359" s="4"/>
      <c r="G359" s="4"/>
      <c r="H359" s="4"/>
      <c r="I359" s="5"/>
      <c r="J359" s="4"/>
      <c r="K359" s="4"/>
      <c r="L359" s="6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3"/>
      <c r="AL359" s="3"/>
      <c r="AM359" s="3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8"/>
      <c r="BU359" s="8"/>
      <c r="BV359" s="8"/>
      <c r="BW359" s="8"/>
      <c r="BX359" s="3"/>
      <c r="BY359" s="3"/>
      <c r="BZ359" s="3"/>
      <c r="CA359" s="8"/>
      <c r="CB359" s="8"/>
      <c r="CC359" s="8"/>
      <c r="CD359" s="8"/>
      <c r="CE359" s="8"/>
      <c r="CF359" s="8"/>
      <c r="CG359" s="9"/>
      <c r="CH359" s="8"/>
      <c r="CI359" s="8"/>
      <c r="CJ359" s="8"/>
      <c r="CK359" s="8"/>
      <c r="CL359" s="8"/>
      <c r="CM359" s="8"/>
      <c r="CN359" s="8"/>
      <c r="CO359" s="8"/>
      <c r="CP359" s="8"/>
      <c r="CQ359" s="9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9"/>
      <c r="DG359" s="9"/>
      <c r="DH359" s="10"/>
      <c r="DI359" s="9"/>
      <c r="DJ359" s="9"/>
      <c r="DK359" s="3"/>
      <c r="DL359" s="3"/>
      <c r="DM359" s="3"/>
    </row>
    <row r="360" ht="11.25" customHeight="1">
      <c r="A360" s="3"/>
      <c r="B360" s="2"/>
      <c r="C360" s="3"/>
      <c r="D360" s="3"/>
      <c r="E360" s="3"/>
      <c r="F360" s="4"/>
      <c r="G360" s="4"/>
      <c r="H360" s="4"/>
      <c r="I360" s="5"/>
      <c r="J360" s="4"/>
      <c r="K360" s="4"/>
      <c r="L360" s="6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3"/>
      <c r="AL360" s="3"/>
      <c r="AM360" s="3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8"/>
      <c r="BU360" s="8"/>
      <c r="BV360" s="8"/>
      <c r="BW360" s="8"/>
      <c r="BX360" s="3"/>
      <c r="BY360" s="3"/>
      <c r="BZ360" s="3"/>
      <c r="CA360" s="8"/>
      <c r="CB360" s="8"/>
      <c r="CC360" s="8"/>
      <c r="CD360" s="8"/>
      <c r="CE360" s="8"/>
      <c r="CF360" s="8"/>
      <c r="CG360" s="9"/>
      <c r="CH360" s="8"/>
      <c r="CI360" s="8"/>
      <c r="CJ360" s="8"/>
      <c r="CK360" s="8"/>
      <c r="CL360" s="8"/>
      <c r="CM360" s="8"/>
      <c r="CN360" s="8"/>
      <c r="CO360" s="8"/>
      <c r="CP360" s="8"/>
      <c r="CQ360" s="9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9"/>
      <c r="DG360" s="9"/>
      <c r="DH360" s="10"/>
      <c r="DI360" s="9"/>
      <c r="DJ360" s="9"/>
      <c r="DK360" s="3"/>
      <c r="DL360" s="3"/>
      <c r="DM360" s="3"/>
    </row>
    <row r="361" ht="11.25" customHeight="1">
      <c r="A361" s="3"/>
      <c r="B361" s="2"/>
      <c r="C361" s="3"/>
      <c r="D361" s="3"/>
      <c r="E361" s="3"/>
      <c r="F361" s="4"/>
      <c r="G361" s="4"/>
      <c r="H361" s="4"/>
      <c r="I361" s="5"/>
      <c r="J361" s="4"/>
      <c r="K361" s="4"/>
      <c r="L361" s="6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3"/>
      <c r="AL361" s="3"/>
      <c r="AM361" s="3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8"/>
      <c r="BU361" s="8"/>
      <c r="BV361" s="8"/>
      <c r="BW361" s="8"/>
      <c r="BX361" s="3"/>
      <c r="BY361" s="3"/>
      <c r="BZ361" s="3"/>
      <c r="CA361" s="8"/>
      <c r="CB361" s="8"/>
      <c r="CC361" s="8"/>
      <c r="CD361" s="8"/>
      <c r="CE361" s="8"/>
      <c r="CF361" s="8"/>
      <c r="CG361" s="9"/>
      <c r="CH361" s="8"/>
      <c r="CI361" s="8"/>
      <c r="CJ361" s="8"/>
      <c r="CK361" s="8"/>
      <c r="CL361" s="8"/>
      <c r="CM361" s="8"/>
      <c r="CN361" s="8"/>
      <c r="CO361" s="8"/>
      <c r="CP361" s="8"/>
      <c r="CQ361" s="9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9"/>
      <c r="DG361" s="9"/>
      <c r="DH361" s="10"/>
      <c r="DI361" s="9"/>
      <c r="DJ361" s="9"/>
      <c r="DK361" s="3"/>
      <c r="DL361" s="3"/>
      <c r="DM361" s="3"/>
    </row>
    <row r="362" ht="11.25" customHeight="1">
      <c r="A362" s="3"/>
      <c r="B362" s="2"/>
      <c r="C362" s="3"/>
      <c r="D362" s="3"/>
      <c r="E362" s="3"/>
      <c r="F362" s="4"/>
      <c r="G362" s="4"/>
      <c r="H362" s="4"/>
      <c r="I362" s="5"/>
      <c r="J362" s="4"/>
      <c r="K362" s="4"/>
      <c r="L362" s="6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3"/>
      <c r="AL362" s="3"/>
      <c r="AM362" s="3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8"/>
      <c r="BU362" s="8"/>
      <c r="BV362" s="8"/>
      <c r="BW362" s="8"/>
      <c r="BX362" s="3"/>
      <c r="BY362" s="3"/>
      <c r="BZ362" s="3"/>
      <c r="CA362" s="8"/>
      <c r="CB362" s="8"/>
      <c r="CC362" s="8"/>
      <c r="CD362" s="8"/>
      <c r="CE362" s="8"/>
      <c r="CF362" s="8"/>
      <c r="CG362" s="9"/>
      <c r="CH362" s="8"/>
      <c r="CI362" s="8"/>
      <c r="CJ362" s="8"/>
      <c r="CK362" s="8"/>
      <c r="CL362" s="8"/>
      <c r="CM362" s="8"/>
      <c r="CN362" s="8"/>
      <c r="CO362" s="8"/>
      <c r="CP362" s="8"/>
      <c r="CQ362" s="9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9"/>
      <c r="DG362" s="9"/>
      <c r="DH362" s="10"/>
      <c r="DI362" s="9"/>
      <c r="DJ362" s="9"/>
      <c r="DK362" s="3"/>
      <c r="DL362" s="3"/>
      <c r="DM362" s="3"/>
    </row>
    <row r="363" ht="11.25" customHeight="1">
      <c r="A363" s="3"/>
      <c r="B363" s="2"/>
      <c r="C363" s="3"/>
      <c r="D363" s="3"/>
      <c r="E363" s="3"/>
      <c r="F363" s="4"/>
      <c r="G363" s="4"/>
      <c r="H363" s="4"/>
      <c r="I363" s="5"/>
      <c r="J363" s="4"/>
      <c r="K363" s="4"/>
      <c r="L363" s="6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3"/>
      <c r="AL363" s="3"/>
      <c r="AM363" s="3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8"/>
      <c r="BU363" s="8"/>
      <c r="BV363" s="8"/>
      <c r="BW363" s="8"/>
      <c r="BX363" s="3"/>
      <c r="BY363" s="3"/>
      <c r="BZ363" s="3"/>
      <c r="CA363" s="8"/>
      <c r="CB363" s="8"/>
      <c r="CC363" s="8"/>
      <c r="CD363" s="8"/>
      <c r="CE363" s="8"/>
      <c r="CF363" s="8"/>
      <c r="CG363" s="9"/>
      <c r="CH363" s="8"/>
      <c r="CI363" s="8"/>
      <c r="CJ363" s="8"/>
      <c r="CK363" s="8"/>
      <c r="CL363" s="8"/>
      <c r="CM363" s="8"/>
      <c r="CN363" s="8"/>
      <c r="CO363" s="8"/>
      <c r="CP363" s="8"/>
      <c r="CQ363" s="9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9"/>
      <c r="DG363" s="9"/>
      <c r="DH363" s="10"/>
      <c r="DI363" s="9"/>
      <c r="DJ363" s="9"/>
      <c r="DK363" s="3"/>
      <c r="DL363" s="3"/>
      <c r="DM363" s="3"/>
    </row>
    <row r="364" ht="11.25" customHeight="1">
      <c r="A364" s="3"/>
      <c r="B364" s="2"/>
      <c r="C364" s="3"/>
      <c r="D364" s="3"/>
      <c r="E364" s="3"/>
      <c r="F364" s="4"/>
      <c r="G364" s="4"/>
      <c r="H364" s="4"/>
      <c r="I364" s="5"/>
      <c r="J364" s="4"/>
      <c r="K364" s="4"/>
      <c r="L364" s="6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3"/>
      <c r="AL364" s="3"/>
      <c r="AM364" s="3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8"/>
      <c r="BU364" s="8"/>
      <c r="BV364" s="8"/>
      <c r="BW364" s="8"/>
      <c r="BX364" s="3"/>
      <c r="BY364" s="3"/>
      <c r="BZ364" s="3"/>
      <c r="CA364" s="8"/>
      <c r="CB364" s="8"/>
      <c r="CC364" s="8"/>
      <c r="CD364" s="8"/>
      <c r="CE364" s="8"/>
      <c r="CF364" s="8"/>
      <c r="CG364" s="9"/>
      <c r="CH364" s="8"/>
      <c r="CI364" s="8"/>
      <c r="CJ364" s="8"/>
      <c r="CK364" s="8"/>
      <c r="CL364" s="8"/>
      <c r="CM364" s="8"/>
      <c r="CN364" s="8"/>
      <c r="CO364" s="8"/>
      <c r="CP364" s="8"/>
      <c r="CQ364" s="9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9"/>
      <c r="DG364" s="9"/>
      <c r="DH364" s="10"/>
      <c r="DI364" s="9"/>
      <c r="DJ364" s="9"/>
      <c r="DK364" s="3"/>
      <c r="DL364" s="3"/>
      <c r="DM364" s="3"/>
    </row>
    <row r="365" ht="11.25" customHeight="1">
      <c r="A365" s="3"/>
      <c r="B365" s="2"/>
      <c r="C365" s="3"/>
      <c r="D365" s="3"/>
      <c r="E365" s="3"/>
      <c r="F365" s="4"/>
      <c r="G365" s="4"/>
      <c r="H365" s="4"/>
      <c r="I365" s="5"/>
      <c r="J365" s="4"/>
      <c r="K365" s="4"/>
      <c r="L365" s="6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3"/>
      <c r="AL365" s="3"/>
      <c r="AM365" s="3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8"/>
      <c r="BU365" s="8"/>
      <c r="BV365" s="8"/>
      <c r="BW365" s="8"/>
      <c r="BX365" s="3"/>
      <c r="BY365" s="3"/>
      <c r="BZ365" s="3"/>
      <c r="CA365" s="8"/>
      <c r="CB365" s="8"/>
      <c r="CC365" s="8"/>
      <c r="CD365" s="8"/>
      <c r="CE365" s="8"/>
      <c r="CF365" s="8"/>
      <c r="CG365" s="9"/>
      <c r="CH365" s="8"/>
      <c r="CI365" s="8"/>
      <c r="CJ365" s="8"/>
      <c r="CK365" s="8"/>
      <c r="CL365" s="8"/>
      <c r="CM365" s="8"/>
      <c r="CN365" s="8"/>
      <c r="CO365" s="8"/>
      <c r="CP365" s="8"/>
      <c r="CQ365" s="9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9"/>
      <c r="DG365" s="9"/>
      <c r="DH365" s="10"/>
      <c r="DI365" s="9"/>
      <c r="DJ365" s="9"/>
      <c r="DK365" s="3"/>
      <c r="DL365" s="3"/>
      <c r="DM365" s="3"/>
    </row>
    <row r="366" ht="11.25" customHeight="1">
      <c r="A366" s="3"/>
      <c r="B366" s="2"/>
      <c r="C366" s="3"/>
      <c r="D366" s="3"/>
      <c r="E366" s="3"/>
      <c r="F366" s="4"/>
      <c r="G366" s="4"/>
      <c r="H366" s="4"/>
      <c r="I366" s="5"/>
      <c r="J366" s="4"/>
      <c r="K366" s="4"/>
      <c r="L366" s="6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3"/>
      <c r="AL366" s="3"/>
      <c r="AM366" s="3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8"/>
      <c r="BU366" s="8"/>
      <c r="BV366" s="8"/>
      <c r="BW366" s="8"/>
      <c r="BX366" s="3"/>
      <c r="BY366" s="3"/>
      <c r="BZ366" s="3"/>
      <c r="CA366" s="8"/>
      <c r="CB366" s="8"/>
      <c r="CC366" s="8"/>
      <c r="CD366" s="8"/>
      <c r="CE366" s="8"/>
      <c r="CF366" s="8"/>
      <c r="CG366" s="9"/>
      <c r="CH366" s="8"/>
      <c r="CI366" s="8"/>
      <c r="CJ366" s="8"/>
      <c r="CK366" s="8"/>
      <c r="CL366" s="8"/>
      <c r="CM366" s="8"/>
      <c r="CN366" s="8"/>
      <c r="CO366" s="8"/>
      <c r="CP366" s="8"/>
      <c r="CQ366" s="9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9"/>
      <c r="DG366" s="9"/>
      <c r="DH366" s="10"/>
      <c r="DI366" s="9"/>
      <c r="DJ366" s="9"/>
      <c r="DK366" s="3"/>
      <c r="DL366" s="3"/>
      <c r="DM366" s="3"/>
    </row>
    <row r="367" ht="11.25" customHeight="1">
      <c r="A367" s="3"/>
      <c r="B367" s="2"/>
      <c r="C367" s="3"/>
      <c r="D367" s="3"/>
      <c r="E367" s="3"/>
      <c r="F367" s="4"/>
      <c r="G367" s="4"/>
      <c r="H367" s="4"/>
      <c r="I367" s="5"/>
      <c r="J367" s="4"/>
      <c r="K367" s="4"/>
      <c r="L367" s="6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3"/>
      <c r="AL367" s="3"/>
      <c r="AM367" s="3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8"/>
      <c r="BU367" s="8"/>
      <c r="BV367" s="8"/>
      <c r="BW367" s="8"/>
      <c r="BX367" s="3"/>
      <c r="BY367" s="3"/>
      <c r="BZ367" s="3"/>
      <c r="CA367" s="8"/>
      <c r="CB367" s="8"/>
      <c r="CC367" s="8"/>
      <c r="CD367" s="8"/>
      <c r="CE367" s="8"/>
      <c r="CF367" s="8"/>
      <c r="CG367" s="9"/>
      <c r="CH367" s="8"/>
      <c r="CI367" s="8"/>
      <c r="CJ367" s="8"/>
      <c r="CK367" s="8"/>
      <c r="CL367" s="8"/>
      <c r="CM367" s="8"/>
      <c r="CN367" s="8"/>
      <c r="CO367" s="8"/>
      <c r="CP367" s="8"/>
      <c r="CQ367" s="9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9"/>
      <c r="DG367" s="9"/>
      <c r="DH367" s="10"/>
      <c r="DI367" s="9"/>
      <c r="DJ367" s="9"/>
      <c r="DK367" s="3"/>
      <c r="DL367" s="3"/>
      <c r="DM367" s="3"/>
    </row>
    <row r="368" ht="11.25" customHeight="1">
      <c r="A368" s="3"/>
      <c r="B368" s="2"/>
      <c r="C368" s="3"/>
      <c r="D368" s="3"/>
      <c r="E368" s="3"/>
      <c r="F368" s="4"/>
      <c r="G368" s="4"/>
      <c r="H368" s="4"/>
      <c r="I368" s="5"/>
      <c r="J368" s="4"/>
      <c r="K368" s="4"/>
      <c r="L368" s="6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3"/>
      <c r="AL368" s="3"/>
      <c r="AM368" s="3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8"/>
      <c r="BU368" s="8"/>
      <c r="BV368" s="8"/>
      <c r="BW368" s="8"/>
      <c r="BX368" s="3"/>
      <c r="BY368" s="3"/>
      <c r="BZ368" s="3"/>
      <c r="CA368" s="8"/>
      <c r="CB368" s="8"/>
      <c r="CC368" s="8"/>
      <c r="CD368" s="8"/>
      <c r="CE368" s="8"/>
      <c r="CF368" s="8"/>
      <c r="CG368" s="9"/>
      <c r="CH368" s="8"/>
      <c r="CI368" s="8"/>
      <c r="CJ368" s="8"/>
      <c r="CK368" s="8"/>
      <c r="CL368" s="8"/>
      <c r="CM368" s="8"/>
      <c r="CN368" s="8"/>
      <c r="CO368" s="8"/>
      <c r="CP368" s="8"/>
      <c r="CQ368" s="9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9"/>
      <c r="DG368" s="9"/>
      <c r="DH368" s="10"/>
      <c r="DI368" s="9"/>
      <c r="DJ368" s="9"/>
      <c r="DK368" s="3"/>
      <c r="DL368" s="3"/>
      <c r="DM368" s="3"/>
    </row>
    <row r="369" ht="11.25" customHeight="1">
      <c r="A369" s="3"/>
      <c r="B369" s="2"/>
      <c r="C369" s="3"/>
      <c r="D369" s="3"/>
      <c r="E369" s="3"/>
      <c r="F369" s="4"/>
      <c r="G369" s="4"/>
      <c r="H369" s="4"/>
      <c r="I369" s="5"/>
      <c r="J369" s="4"/>
      <c r="K369" s="4"/>
      <c r="L369" s="6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3"/>
      <c r="AL369" s="3"/>
      <c r="AM369" s="3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8"/>
      <c r="BU369" s="8"/>
      <c r="BV369" s="8"/>
      <c r="BW369" s="8"/>
      <c r="BX369" s="3"/>
      <c r="BY369" s="3"/>
      <c r="BZ369" s="3"/>
      <c r="CA369" s="8"/>
      <c r="CB369" s="8"/>
      <c r="CC369" s="8"/>
      <c r="CD369" s="8"/>
      <c r="CE369" s="8"/>
      <c r="CF369" s="8"/>
      <c r="CG369" s="9"/>
      <c r="CH369" s="8"/>
      <c r="CI369" s="8"/>
      <c r="CJ369" s="8"/>
      <c r="CK369" s="8"/>
      <c r="CL369" s="8"/>
      <c r="CM369" s="8"/>
      <c r="CN369" s="8"/>
      <c r="CO369" s="8"/>
      <c r="CP369" s="8"/>
      <c r="CQ369" s="9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9"/>
      <c r="DG369" s="9"/>
      <c r="DH369" s="10"/>
      <c r="DI369" s="9"/>
      <c r="DJ369" s="9"/>
      <c r="DK369" s="3"/>
      <c r="DL369" s="3"/>
      <c r="DM369" s="3"/>
    </row>
    <row r="370" ht="11.25" customHeight="1">
      <c r="A370" s="3"/>
      <c r="B370" s="2"/>
      <c r="C370" s="3"/>
      <c r="D370" s="3"/>
      <c r="E370" s="3"/>
      <c r="F370" s="4"/>
      <c r="G370" s="4"/>
      <c r="H370" s="4"/>
      <c r="I370" s="5"/>
      <c r="J370" s="4"/>
      <c r="K370" s="4"/>
      <c r="L370" s="6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3"/>
      <c r="AL370" s="3"/>
      <c r="AM370" s="3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8"/>
      <c r="BU370" s="8"/>
      <c r="BV370" s="8"/>
      <c r="BW370" s="8"/>
      <c r="BX370" s="3"/>
      <c r="BY370" s="3"/>
      <c r="BZ370" s="3"/>
      <c r="CA370" s="8"/>
      <c r="CB370" s="8"/>
      <c r="CC370" s="8"/>
      <c r="CD370" s="8"/>
      <c r="CE370" s="8"/>
      <c r="CF370" s="8"/>
      <c r="CG370" s="9"/>
      <c r="CH370" s="8"/>
      <c r="CI370" s="8"/>
      <c r="CJ370" s="8"/>
      <c r="CK370" s="8"/>
      <c r="CL370" s="8"/>
      <c r="CM370" s="8"/>
      <c r="CN370" s="8"/>
      <c r="CO370" s="8"/>
      <c r="CP370" s="8"/>
      <c r="CQ370" s="9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9"/>
      <c r="DG370" s="9"/>
      <c r="DH370" s="10"/>
      <c r="DI370" s="9"/>
      <c r="DJ370" s="9"/>
      <c r="DK370" s="3"/>
      <c r="DL370" s="3"/>
      <c r="DM370" s="3"/>
    </row>
    <row r="371" ht="11.25" customHeight="1">
      <c r="A371" s="3"/>
      <c r="B371" s="2"/>
      <c r="C371" s="3"/>
      <c r="D371" s="3"/>
      <c r="E371" s="3"/>
      <c r="F371" s="4"/>
      <c r="G371" s="4"/>
      <c r="H371" s="4"/>
      <c r="I371" s="5"/>
      <c r="J371" s="4"/>
      <c r="K371" s="4"/>
      <c r="L371" s="6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3"/>
      <c r="AL371" s="3"/>
      <c r="AM371" s="3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8"/>
      <c r="BU371" s="8"/>
      <c r="BV371" s="8"/>
      <c r="BW371" s="8"/>
      <c r="BX371" s="3"/>
      <c r="BY371" s="3"/>
      <c r="BZ371" s="3"/>
      <c r="CA371" s="8"/>
      <c r="CB371" s="8"/>
      <c r="CC371" s="8"/>
      <c r="CD371" s="8"/>
      <c r="CE371" s="8"/>
      <c r="CF371" s="8"/>
      <c r="CG371" s="9"/>
      <c r="CH371" s="8"/>
      <c r="CI371" s="8"/>
      <c r="CJ371" s="8"/>
      <c r="CK371" s="8"/>
      <c r="CL371" s="8"/>
      <c r="CM371" s="8"/>
      <c r="CN371" s="8"/>
      <c r="CO371" s="8"/>
      <c r="CP371" s="8"/>
      <c r="CQ371" s="9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9"/>
      <c r="DG371" s="9"/>
      <c r="DH371" s="10"/>
      <c r="DI371" s="9"/>
      <c r="DJ371" s="9"/>
      <c r="DK371" s="3"/>
      <c r="DL371" s="3"/>
      <c r="DM371" s="3"/>
    </row>
    <row r="372" ht="11.25" customHeight="1">
      <c r="A372" s="3"/>
      <c r="B372" s="2"/>
      <c r="C372" s="3"/>
      <c r="D372" s="3"/>
      <c r="E372" s="3"/>
      <c r="F372" s="4"/>
      <c r="G372" s="4"/>
      <c r="H372" s="4"/>
      <c r="I372" s="5"/>
      <c r="J372" s="4"/>
      <c r="K372" s="4"/>
      <c r="L372" s="6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3"/>
      <c r="AL372" s="3"/>
      <c r="AM372" s="3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8"/>
      <c r="BU372" s="8"/>
      <c r="BV372" s="8"/>
      <c r="BW372" s="8"/>
      <c r="BX372" s="3"/>
      <c r="BY372" s="3"/>
      <c r="BZ372" s="3"/>
      <c r="CA372" s="8"/>
      <c r="CB372" s="8"/>
      <c r="CC372" s="8"/>
      <c r="CD372" s="8"/>
      <c r="CE372" s="8"/>
      <c r="CF372" s="8"/>
      <c r="CG372" s="9"/>
      <c r="CH372" s="8"/>
      <c r="CI372" s="8"/>
      <c r="CJ372" s="8"/>
      <c r="CK372" s="8"/>
      <c r="CL372" s="8"/>
      <c r="CM372" s="8"/>
      <c r="CN372" s="8"/>
      <c r="CO372" s="8"/>
      <c r="CP372" s="8"/>
      <c r="CQ372" s="9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9"/>
      <c r="DG372" s="9"/>
      <c r="DH372" s="10"/>
      <c r="DI372" s="9"/>
      <c r="DJ372" s="9"/>
      <c r="DK372" s="3"/>
      <c r="DL372" s="3"/>
      <c r="DM372" s="3"/>
    </row>
    <row r="373" ht="11.25" customHeight="1">
      <c r="A373" s="3"/>
      <c r="B373" s="2"/>
      <c r="C373" s="3"/>
      <c r="D373" s="3"/>
      <c r="E373" s="3"/>
      <c r="F373" s="4"/>
      <c r="G373" s="4"/>
      <c r="H373" s="4"/>
      <c r="I373" s="5"/>
      <c r="J373" s="4"/>
      <c r="K373" s="4"/>
      <c r="L373" s="6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3"/>
      <c r="AL373" s="3"/>
      <c r="AM373" s="3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8"/>
      <c r="BU373" s="8"/>
      <c r="BV373" s="8"/>
      <c r="BW373" s="8"/>
      <c r="BX373" s="3"/>
      <c r="BY373" s="3"/>
      <c r="BZ373" s="3"/>
      <c r="CA373" s="8"/>
      <c r="CB373" s="8"/>
      <c r="CC373" s="8"/>
      <c r="CD373" s="8"/>
      <c r="CE373" s="8"/>
      <c r="CF373" s="8"/>
      <c r="CG373" s="9"/>
      <c r="CH373" s="8"/>
      <c r="CI373" s="8"/>
      <c r="CJ373" s="8"/>
      <c r="CK373" s="8"/>
      <c r="CL373" s="8"/>
      <c r="CM373" s="8"/>
      <c r="CN373" s="8"/>
      <c r="CO373" s="8"/>
      <c r="CP373" s="8"/>
      <c r="CQ373" s="9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9"/>
      <c r="DG373" s="9"/>
      <c r="DH373" s="10"/>
      <c r="DI373" s="9"/>
      <c r="DJ373" s="9"/>
      <c r="DK373" s="3"/>
      <c r="DL373" s="3"/>
      <c r="DM373" s="3"/>
    </row>
    <row r="374" ht="11.25" customHeight="1">
      <c r="A374" s="3"/>
      <c r="B374" s="2"/>
      <c r="C374" s="3"/>
      <c r="D374" s="3"/>
      <c r="E374" s="3"/>
      <c r="F374" s="4"/>
      <c r="G374" s="4"/>
      <c r="H374" s="4"/>
      <c r="I374" s="5"/>
      <c r="J374" s="4"/>
      <c r="K374" s="4"/>
      <c r="L374" s="6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3"/>
      <c r="AL374" s="3"/>
      <c r="AM374" s="3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8"/>
      <c r="BU374" s="8"/>
      <c r="BV374" s="8"/>
      <c r="BW374" s="8"/>
      <c r="BX374" s="3"/>
      <c r="BY374" s="3"/>
      <c r="BZ374" s="3"/>
      <c r="CA374" s="8"/>
      <c r="CB374" s="8"/>
      <c r="CC374" s="8"/>
      <c r="CD374" s="8"/>
      <c r="CE374" s="8"/>
      <c r="CF374" s="8"/>
      <c r="CG374" s="9"/>
      <c r="CH374" s="8"/>
      <c r="CI374" s="8"/>
      <c r="CJ374" s="8"/>
      <c r="CK374" s="8"/>
      <c r="CL374" s="8"/>
      <c r="CM374" s="8"/>
      <c r="CN374" s="8"/>
      <c r="CO374" s="8"/>
      <c r="CP374" s="8"/>
      <c r="CQ374" s="9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9"/>
      <c r="DG374" s="9"/>
      <c r="DH374" s="10"/>
      <c r="DI374" s="9"/>
      <c r="DJ374" s="9"/>
      <c r="DK374" s="3"/>
      <c r="DL374" s="3"/>
      <c r="DM374" s="3"/>
    </row>
    <row r="375" ht="11.25" customHeight="1">
      <c r="A375" s="3"/>
      <c r="B375" s="2"/>
      <c r="C375" s="3"/>
      <c r="D375" s="3"/>
      <c r="E375" s="3"/>
      <c r="F375" s="4"/>
      <c r="G375" s="4"/>
      <c r="H375" s="4"/>
      <c r="I375" s="5"/>
      <c r="J375" s="4"/>
      <c r="K375" s="4"/>
      <c r="L375" s="6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3"/>
      <c r="AL375" s="3"/>
      <c r="AM375" s="3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8"/>
      <c r="BU375" s="8"/>
      <c r="BV375" s="8"/>
      <c r="BW375" s="8"/>
      <c r="BX375" s="3"/>
      <c r="BY375" s="3"/>
      <c r="BZ375" s="3"/>
      <c r="CA375" s="8"/>
      <c r="CB375" s="8"/>
      <c r="CC375" s="8"/>
      <c r="CD375" s="8"/>
      <c r="CE375" s="8"/>
      <c r="CF375" s="8"/>
      <c r="CG375" s="9"/>
      <c r="CH375" s="8"/>
      <c r="CI375" s="8"/>
      <c r="CJ375" s="8"/>
      <c r="CK375" s="8"/>
      <c r="CL375" s="8"/>
      <c r="CM375" s="8"/>
      <c r="CN375" s="8"/>
      <c r="CO375" s="8"/>
      <c r="CP375" s="8"/>
      <c r="CQ375" s="9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9"/>
      <c r="DG375" s="9"/>
      <c r="DH375" s="10"/>
      <c r="DI375" s="9"/>
      <c r="DJ375" s="9"/>
      <c r="DK375" s="3"/>
      <c r="DL375" s="3"/>
      <c r="DM375" s="3"/>
    </row>
    <row r="376" ht="11.25" customHeight="1">
      <c r="A376" s="3"/>
      <c r="B376" s="2"/>
      <c r="C376" s="3"/>
      <c r="D376" s="3"/>
      <c r="E376" s="3"/>
      <c r="F376" s="4"/>
      <c r="G376" s="4"/>
      <c r="H376" s="4"/>
      <c r="I376" s="5"/>
      <c r="J376" s="4"/>
      <c r="K376" s="4"/>
      <c r="L376" s="6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3"/>
      <c r="AL376" s="3"/>
      <c r="AM376" s="3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8"/>
      <c r="BU376" s="8"/>
      <c r="BV376" s="8"/>
      <c r="BW376" s="8"/>
      <c r="BX376" s="3"/>
      <c r="BY376" s="3"/>
      <c r="BZ376" s="3"/>
      <c r="CA376" s="8"/>
      <c r="CB376" s="8"/>
      <c r="CC376" s="8"/>
      <c r="CD376" s="8"/>
      <c r="CE376" s="8"/>
      <c r="CF376" s="8"/>
      <c r="CG376" s="9"/>
      <c r="CH376" s="8"/>
      <c r="CI376" s="8"/>
      <c r="CJ376" s="8"/>
      <c r="CK376" s="8"/>
      <c r="CL376" s="8"/>
      <c r="CM376" s="8"/>
      <c r="CN376" s="8"/>
      <c r="CO376" s="8"/>
      <c r="CP376" s="8"/>
      <c r="CQ376" s="9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9"/>
      <c r="DG376" s="9"/>
      <c r="DH376" s="10"/>
      <c r="DI376" s="9"/>
      <c r="DJ376" s="9"/>
      <c r="DK376" s="3"/>
      <c r="DL376" s="3"/>
      <c r="DM376" s="3"/>
    </row>
    <row r="377" ht="11.25" customHeight="1">
      <c r="A377" s="3"/>
      <c r="B377" s="2"/>
      <c r="C377" s="3"/>
      <c r="D377" s="3"/>
      <c r="E377" s="3"/>
      <c r="F377" s="4"/>
      <c r="G377" s="4"/>
      <c r="H377" s="4"/>
      <c r="I377" s="5"/>
      <c r="J377" s="4"/>
      <c r="K377" s="4"/>
      <c r="L377" s="6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3"/>
      <c r="AL377" s="3"/>
      <c r="AM377" s="3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8"/>
      <c r="BU377" s="8"/>
      <c r="BV377" s="8"/>
      <c r="BW377" s="8"/>
      <c r="BX377" s="3"/>
      <c r="BY377" s="3"/>
      <c r="BZ377" s="3"/>
      <c r="CA377" s="8"/>
      <c r="CB377" s="8"/>
      <c r="CC377" s="8"/>
      <c r="CD377" s="8"/>
      <c r="CE377" s="8"/>
      <c r="CF377" s="8"/>
      <c r="CG377" s="9"/>
      <c r="CH377" s="8"/>
      <c r="CI377" s="8"/>
      <c r="CJ377" s="8"/>
      <c r="CK377" s="8"/>
      <c r="CL377" s="8"/>
      <c r="CM377" s="8"/>
      <c r="CN377" s="8"/>
      <c r="CO377" s="8"/>
      <c r="CP377" s="8"/>
      <c r="CQ377" s="9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9"/>
      <c r="DG377" s="9"/>
      <c r="DH377" s="10"/>
      <c r="DI377" s="9"/>
      <c r="DJ377" s="9"/>
      <c r="DK377" s="3"/>
      <c r="DL377" s="3"/>
      <c r="DM377" s="3"/>
    </row>
    <row r="378" ht="11.25" customHeight="1">
      <c r="A378" s="3"/>
      <c r="B378" s="2"/>
      <c r="C378" s="3"/>
      <c r="D378" s="3"/>
      <c r="E378" s="3"/>
      <c r="F378" s="4"/>
      <c r="G378" s="4"/>
      <c r="H378" s="4"/>
      <c r="I378" s="5"/>
      <c r="J378" s="4"/>
      <c r="K378" s="4"/>
      <c r="L378" s="6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3"/>
      <c r="AL378" s="3"/>
      <c r="AM378" s="3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8"/>
      <c r="BU378" s="8"/>
      <c r="BV378" s="8"/>
      <c r="BW378" s="8"/>
      <c r="BX378" s="3"/>
      <c r="BY378" s="3"/>
      <c r="BZ378" s="3"/>
      <c r="CA378" s="8"/>
      <c r="CB378" s="8"/>
      <c r="CC378" s="8"/>
      <c r="CD378" s="8"/>
      <c r="CE378" s="8"/>
      <c r="CF378" s="8"/>
      <c r="CG378" s="9"/>
      <c r="CH378" s="8"/>
      <c r="CI378" s="8"/>
      <c r="CJ378" s="8"/>
      <c r="CK378" s="8"/>
      <c r="CL378" s="8"/>
      <c r="CM378" s="8"/>
      <c r="CN378" s="8"/>
      <c r="CO378" s="8"/>
      <c r="CP378" s="8"/>
      <c r="CQ378" s="9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9"/>
      <c r="DG378" s="9"/>
      <c r="DH378" s="10"/>
      <c r="DI378" s="9"/>
      <c r="DJ378" s="9"/>
      <c r="DK378" s="3"/>
      <c r="DL378" s="3"/>
      <c r="DM378" s="3"/>
    </row>
    <row r="379" ht="11.25" customHeight="1">
      <c r="A379" s="3"/>
      <c r="B379" s="2"/>
      <c r="C379" s="3"/>
      <c r="D379" s="3"/>
      <c r="E379" s="3"/>
      <c r="F379" s="4"/>
      <c r="G379" s="4"/>
      <c r="H379" s="4"/>
      <c r="I379" s="5"/>
      <c r="J379" s="4"/>
      <c r="K379" s="4"/>
      <c r="L379" s="6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3"/>
      <c r="AL379" s="3"/>
      <c r="AM379" s="3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8"/>
      <c r="BU379" s="8"/>
      <c r="BV379" s="8"/>
      <c r="BW379" s="8"/>
      <c r="BX379" s="3"/>
      <c r="BY379" s="3"/>
      <c r="BZ379" s="3"/>
      <c r="CA379" s="8"/>
      <c r="CB379" s="8"/>
      <c r="CC379" s="8"/>
      <c r="CD379" s="8"/>
      <c r="CE379" s="8"/>
      <c r="CF379" s="8"/>
      <c r="CG379" s="9"/>
      <c r="CH379" s="8"/>
      <c r="CI379" s="8"/>
      <c r="CJ379" s="8"/>
      <c r="CK379" s="8"/>
      <c r="CL379" s="8"/>
      <c r="CM379" s="8"/>
      <c r="CN379" s="8"/>
      <c r="CO379" s="8"/>
      <c r="CP379" s="8"/>
      <c r="CQ379" s="9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9"/>
      <c r="DG379" s="9"/>
      <c r="DH379" s="10"/>
      <c r="DI379" s="9"/>
      <c r="DJ379" s="9"/>
      <c r="DK379" s="3"/>
      <c r="DL379" s="3"/>
      <c r="DM379" s="3"/>
    </row>
    <row r="380" ht="11.25" customHeight="1">
      <c r="A380" s="3"/>
      <c r="B380" s="2"/>
      <c r="C380" s="3"/>
      <c r="D380" s="3"/>
      <c r="E380" s="3"/>
      <c r="F380" s="4"/>
      <c r="G380" s="4"/>
      <c r="H380" s="4"/>
      <c r="I380" s="5"/>
      <c r="J380" s="4"/>
      <c r="K380" s="4"/>
      <c r="L380" s="6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3"/>
      <c r="AL380" s="3"/>
      <c r="AM380" s="3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8"/>
      <c r="BU380" s="8"/>
      <c r="BV380" s="8"/>
      <c r="BW380" s="8"/>
      <c r="BX380" s="3"/>
      <c r="BY380" s="3"/>
      <c r="BZ380" s="3"/>
      <c r="CA380" s="8"/>
      <c r="CB380" s="8"/>
      <c r="CC380" s="8"/>
      <c r="CD380" s="8"/>
      <c r="CE380" s="8"/>
      <c r="CF380" s="8"/>
      <c r="CG380" s="9"/>
      <c r="CH380" s="8"/>
      <c r="CI380" s="8"/>
      <c r="CJ380" s="8"/>
      <c r="CK380" s="8"/>
      <c r="CL380" s="8"/>
      <c r="CM380" s="8"/>
      <c r="CN380" s="8"/>
      <c r="CO380" s="8"/>
      <c r="CP380" s="8"/>
      <c r="CQ380" s="9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9"/>
      <c r="DG380" s="9"/>
      <c r="DH380" s="10"/>
      <c r="DI380" s="9"/>
      <c r="DJ380" s="9"/>
      <c r="DK380" s="3"/>
      <c r="DL380" s="3"/>
      <c r="DM380" s="3"/>
    </row>
    <row r="381" ht="11.25" customHeight="1">
      <c r="A381" s="3"/>
      <c r="B381" s="2"/>
      <c r="C381" s="3"/>
      <c r="D381" s="3"/>
      <c r="E381" s="3"/>
      <c r="F381" s="4"/>
      <c r="G381" s="4"/>
      <c r="H381" s="4"/>
      <c r="I381" s="5"/>
      <c r="J381" s="4"/>
      <c r="K381" s="4"/>
      <c r="L381" s="6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3"/>
      <c r="AL381" s="3"/>
      <c r="AM381" s="3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8"/>
      <c r="BU381" s="8"/>
      <c r="BV381" s="8"/>
      <c r="BW381" s="8"/>
      <c r="BX381" s="3"/>
      <c r="BY381" s="3"/>
      <c r="BZ381" s="3"/>
      <c r="CA381" s="8"/>
      <c r="CB381" s="8"/>
      <c r="CC381" s="8"/>
      <c r="CD381" s="8"/>
      <c r="CE381" s="8"/>
      <c r="CF381" s="8"/>
      <c r="CG381" s="9"/>
      <c r="CH381" s="8"/>
      <c r="CI381" s="8"/>
      <c r="CJ381" s="8"/>
      <c r="CK381" s="8"/>
      <c r="CL381" s="8"/>
      <c r="CM381" s="8"/>
      <c r="CN381" s="8"/>
      <c r="CO381" s="8"/>
      <c r="CP381" s="8"/>
      <c r="CQ381" s="9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9"/>
      <c r="DG381" s="9"/>
      <c r="DH381" s="10"/>
      <c r="DI381" s="9"/>
      <c r="DJ381" s="9"/>
      <c r="DK381" s="3"/>
      <c r="DL381" s="3"/>
      <c r="DM381" s="3"/>
    </row>
    <row r="382" ht="11.25" customHeight="1">
      <c r="A382" s="3"/>
      <c r="B382" s="2"/>
      <c r="C382" s="3"/>
      <c r="D382" s="3"/>
      <c r="E382" s="3"/>
      <c r="F382" s="4"/>
      <c r="G382" s="4"/>
      <c r="H382" s="4"/>
      <c r="I382" s="5"/>
      <c r="J382" s="4"/>
      <c r="K382" s="4"/>
      <c r="L382" s="6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3"/>
      <c r="AL382" s="3"/>
      <c r="AM382" s="3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8"/>
      <c r="BU382" s="8"/>
      <c r="BV382" s="8"/>
      <c r="BW382" s="8"/>
      <c r="BX382" s="3"/>
      <c r="BY382" s="3"/>
      <c r="BZ382" s="3"/>
      <c r="CA382" s="8"/>
      <c r="CB382" s="8"/>
      <c r="CC382" s="8"/>
      <c r="CD382" s="8"/>
      <c r="CE382" s="8"/>
      <c r="CF382" s="8"/>
      <c r="CG382" s="9"/>
      <c r="CH382" s="8"/>
      <c r="CI382" s="8"/>
      <c r="CJ382" s="8"/>
      <c r="CK382" s="8"/>
      <c r="CL382" s="8"/>
      <c r="CM382" s="8"/>
      <c r="CN382" s="8"/>
      <c r="CO382" s="8"/>
      <c r="CP382" s="8"/>
      <c r="CQ382" s="9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9"/>
      <c r="DG382" s="9"/>
      <c r="DH382" s="10"/>
      <c r="DI382" s="9"/>
      <c r="DJ382" s="9"/>
      <c r="DK382" s="3"/>
      <c r="DL382" s="3"/>
      <c r="DM382" s="3"/>
    </row>
    <row r="383" ht="11.25" customHeight="1">
      <c r="A383" s="3"/>
      <c r="B383" s="2"/>
      <c r="C383" s="3"/>
      <c r="D383" s="3"/>
      <c r="E383" s="3"/>
      <c r="F383" s="4"/>
      <c r="G383" s="4"/>
      <c r="H383" s="4"/>
      <c r="I383" s="5"/>
      <c r="J383" s="4"/>
      <c r="K383" s="4"/>
      <c r="L383" s="6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3"/>
      <c r="AL383" s="3"/>
      <c r="AM383" s="3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8"/>
      <c r="BU383" s="8"/>
      <c r="BV383" s="8"/>
      <c r="BW383" s="8"/>
      <c r="BX383" s="3"/>
      <c r="BY383" s="3"/>
      <c r="BZ383" s="3"/>
      <c r="CA383" s="8"/>
      <c r="CB383" s="8"/>
      <c r="CC383" s="8"/>
      <c r="CD383" s="8"/>
      <c r="CE383" s="8"/>
      <c r="CF383" s="8"/>
      <c r="CG383" s="9"/>
      <c r="CH383" s="8"/>
      <c r="CI383" s="8"/>
      <c r="CJ383" s="8"/>
      <c r="CK383" s="8"/>
      <c r="CL383" s="8"/>
      <c r="CM383" s="8"/>
      <c r="CN383" s="8"/>
      <c r="CO383" s="8"/>
      <c r="CP383" s="8"/>
      <c r="CQ383" s="9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9"/>
      <c r="DG383" s="9"/>
      <c r="DH383" s="10"/>
      <c r="DI383" s="9"/>
      <c r="DJ383" s="9"/>
      <c r="DK383" s="3"/>
      <c r="DL383" s="3"/>
      <c r="DM383" s="3"/>
    </row>
    <row r="384" ht="11.25" customHeight="1">
      <c r="A384" s="3"/>
      <c r="B384" s="2"/>
      <c r="C384" s="3"/>
      <c r="D384" s="3"/>
      <c r="E384" s="3"/>
      <c r="F384" s="4"/>
      <c r="G384" s="4"/>
      <c r="H384" s="4"/>
      <c r="I384" s="5"/>
      <c r="J384" s="4"/>
      <c r="K384" s="4"/>
      <c r="L384" s="6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3"/>
      <c r="AL384" s="3"/>
      <c r="AM384" s="3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8"/>
      <c r="BU384" s="8"/>
      <c r="BV384" s="8"/>
      <c r="BW384" s="8"/>
      <c r="BX384" s="3"/>
      <c r="BY384" s="3"/>
      <c r="BZ384" s="3"/>
      <c r="CA384" s="8"/>
      <c r="CB384" s="8"/>
      <c r="CC384" s="8"/>
      <c r="CD384" s="8"/>
      <c r="CE384" s="8"/>
      <c r="CF384" s="8"/>
      <c r="CG384" s="9"/>
      <c r="CH384" s="8"/>
      <c r="CI384" s="8"/>
      <c r="CJ384" s="8"/>
      <c r="CK384" s="8"/>
      <c r="CL384" s="8"/>
      <c r="CM384" s="8"/>
      <c r="CN384" s="8"/>
      <c r="CO384" s="8"/>
      <c r="CP384" s="8"/>
      <c r="CQ384" s="9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9"/>
      <c r="DG384" s="9"/>
      <c r="DH384" s="10"/>
      <c r="DI384" s="9"/>
      <c r="DJ384" s="9"/>
      <c r="DK384" s="3"/>
      <c r="DL384" s="3"/>
      <c r="DM384" s="3"/>
    </row>
    <row r="385" ht="11.25" customHeight="1">
      <c r="A385" s="3"/>
      <c r="B385" s="2"/>
      <c r="C385" s="3"/>
      <c r="D385" s="3"/>
      <c r="E385" s="3"/>
      <c r="F385" s="4"/>
      <c r="G385" s="4"/>
      <c r="H385" s="4"/>
      <c r="I385" s="5"/>
      <c r="J385" s="4"/>
      <c r="K385" s="4"/>
      <c r="L385" s="6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3"/>
      <c r="AL385" s="3"/>
      <c r="AM385" s="3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8"/>
      <c r="BU385" s="8"/>
      <c r="BV385" s="8"/>
      <c r="BW385" s="8"/>
      <c r="BX385" s="3"/>
      <c r="BY385" s="3"/>
      <c r="BZ385" s="3"/>
      <c r="CA385" s="8"/>
      <c r="CB385" s="8"/>
      <c r="CC385" s="8"/>
      <c r="CD385" s="8"/>
      <c r="CE385" s="8"/>
      <c r="CF385" s="8"/>
      <c r="CG385" s="9"/>
      <c r="CH385" s="8"/>
      <c r="CI385" s="8"/>
      <c r="CJ385" s="8"/>
      <c r="CK385" s="8"/>
      <c r="CL385" s="8"/>
      <c r="CM385" s="8"/>
      <c r="CN385" s="8"/>
      <c r="CO385" s="8"/>
      <c r="CP385" s="8"/>
      <c r="CQ385" s="9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9"/>
      <c r="DG385" s="9"/>
      <c r="DH385" s="10"/>
      <c r="DI385" s="9"/>
      <c r="DJ385" s="9"/>
      <c r="DK385" s="3"/>
      <c r="DL385" s="3"/>
      <c r="DM385" s="3"/>
    </row>
    <row r="386" ht="11.25" customHeight="1">
      <c r="A386" s="3"/>
      <c r="B386" s="2"/>
      <c r="C386" s="3"/>
      <c r="D386" s="3"/>
      <c r="E386" s="3"/>
      <c r="F386" s="4"/>
      <c r="G386" s="4"/>
      <c r="H386" s="4"/>
      <c r="I386" s="5"/>
      <c r="J386" s="4"/>
      <c r="K386" s="4"/>
      <c r="L386" s="6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3"/>
      <c r="AL386" s="3"/>
      <c r="AM386" s="3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8"/>
      <c r="BU386" s="8"/>
      <c r="BV386" s="8"/>
      <c r="BW386" s="8"/>
      <c r="BX386" s="3"/>
      <c r="BY386" s="3"/>
      <c r="BZ386" s="3"/>
      <c r="CA386" s="8"/>
      <c r="CB386" s="8"/>
      <c r="CC386" s="8"/>
      <c r="CD386" s="8"/>
      <c r="CE386" s="8"/>
      <c r="CF386" s="8"/>
      <c r="CG386" s="9"/>
      <c r="CH386" s="8"/>
      <c r="CI386" s="8"/>
      <c r="CJ386" s="8"/>
      <c r="CK386" s="8"/>
      <c r="CL386" s="8"/>
      <c r="CM386" s="8"/>
      <c r="CN386" s="8"/>
      <c r="CO386" s="8"/>
      <c r="CP386" s="8"/>
      <c r="CQ386" s="9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9"/>
      <c r="DG386" s="9"/>
      <c r="DH386" s="10"/>
      <c r="DI386" s="9"/>
      <c r="DJ386" s="9"/>
      <c r="DK386" s="3"/>
      <c r="DL386" s="3"/>
      <c r="DM386" s="3"/>
    </row>
    <row r="387" ht="11.25" customHeight="1">
      <c r="A387" s="3"/>
      <c r="B387" s="2"/>
      <c r="C387" s="3"/>
      <c r="D387" s="3"/>
      <c r="E387" s="3"/>
      <c r="F387" s="4"/>
      <c r="G387" s="4"/>
      <c r="H387" s="4"/>
      <c r="I387" s="5"/>
      <c r="J387" s="4"/>
      <c r="K387" s="4"/>
      <c r="L387" s="6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3"/>
      <c r="AL387" s="3"/>
      <c r="AM387" s="3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8"/>
      <c r="BU387" s="8"/>
      <c r="BV387" s="8"/>
      <c r="BW387" s="8"/>
      <c r="BX387" s="3"/>
      <c r="BY387" s="3"/>
      <c r="BZ387" s="3"/>
      <c r="CA387" s="8"/>
      <c r="CB387" s="8"/>
      <c r="CC387" s="8"/>
      <c r="CD387" s="8"/>
      <c r="CE387" s="8"/>
      <c r="CF387" s="8"/>
      <c r="CG387" s="9"/>
      <c r="CH387" s="8"/>
      <c r="CI387" s="8"/>
      <c r="CJ387" s="8"/>
      <c r="CK387" s="8"/>
      <c r="CL387" s="8"/>
      <c r="CM387" s="8"/>
      <c r="CN387" s="8"/>
      <c r="CO387" s="8"/>
      <c r="CP387" s="8"/>
      <c r="CQ387" s="9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9"/>
      <c r="DG387" s="9"/>
      <c r="DH387" s="10"/>
      <c r="DI387" s="9"/>
      <c r="DJ387" s="9"/>
      <c r="DK387" s="3"/>
      <c r="DL387" s="3"/>
      <c r="DM387" s="3"/>
    </row>
    <row r="388" ht="11.25" customHeight="1">
      <c r="A388" s="3"/>
      <c r="B388" s="2"/>
      <c r="C388" s="3"/>
      <c r="D388" s="3"/>
      <c r="E388" s="3"/>
      <c r="F388" s="4"/>
      <c r="G388" s="4"/>
      <c r="H388" s="4"/>
      <c r="I388" s="5"/>
      <c r="J388" s="4"/>
      <c r="K388" s="4"/>
      <c r="L388" s="6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3"/>
      <c r="AL388" s="3"/>
      <c r="AM388" s="3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8"/>
      <c r="BU388" s="8"/>
      <c r="BV388" s="8"/>
      <c r="BW388" s="8"/>
      <c r="BX388" s="3"/>
      <c r="BY388" s="3"/>
      <c r="BZ388" s="3"/>
      <c r="CA388" s="8"/>
      <c r="CB388" s="8"/>
      <c r="CC388" s="8"/>
      <c r="CD388" s="8"/>
      <c r="CE388" s="8"/>
      <c r="CF388" s="8"/>
      <c r="CG388" s="9"/>
      <c r="CH388" s="8"/>
      <c r="CI388" s="8"/>
      <c r="CJ388" s="8"/>
      <c r="CK388" s="8"/>
      <c r="CL388" s="8"/>
      <c r="CM388" s="8"/>
      <c r="CN388" s="8"/>
      <c r="CO388" s="8"/>
      <c r="CP388" s="8"/>
      <c r="CQ388" s="9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9"/>
      <c r="DG388" s="9"/>
      <c r="DH388" s="10"/>
      <c r="DI388" s="9"/>
      <c r="DJ388" s="9"/>
      <c r="DK388" s="3"/>
      <c r="DL388" s="3"/>
      <c r="DM388" s="3"/>
    </row>
    <row r="389" ht="11.25" customHeight="1">
      <c r="A389" s="3"/>
      <c r="B389" s="2"/>
      <c r="C389" s="3"/>
      <c r="D389" s="3"/>
      <c r="E389" s="3"/>
      <c r="F389" s="4"/>
      <c r="G389" s="4"/>
      <c r="H389" s="4"/>
      <c r="I389" s="5"/>
      <c r="J389" s="4"/>
      <c r="K389" s="4"/>
      <c r="L389" s="6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3"/>
      <c r="AL389" s="3"/>
      <c r="AM389" s="3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8"/>
      <c r="BU389" s="8"/>
      <c r="BV389" s="8"/>
      <c r="BW389" s="8"/>
      <c r="BX389" s="3"/>
      <c r="BY389" s="3"/>
      <c r="BZ389" s="3"/>
      <c r="CA389" s="8"/>
      <c r="CB389" s="8"/>
      <c r="CC389" s="8"/>
      <c r="CD389" s="8"/>
      <c r="CE389" s="8"/>
      <c r="CF389" s="8"/>
      <c r="CG389" s="9"/>
      <c r="CH389" s="8"/>
      <c r="CI389" s="8"/>
      <c r="CJ389" s="8"/>
      <c r="CK389" s="8"/>
      <c r="CL389" s="8"/>
      <c r="CM389" s="8"/>
      <c r="CN389" s="8"/>
      <c r="CO389" s="8"/>
      <c r="CP389" s="8"/>
      <c r="CQ389" s="9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9"/>
      <c r="DG389" s="9"/>
      <c r="DH389" s="10"/>
      <c r="DI389" s="9"/>
      <c r="DJ389" s="9"/>
      <c r="DK389" s="3"/>
      <c r="DL389" s="3"/>
      <c r="DM389" s="3"/>
    </row>
    <row r="390" ht="11.25" customHeight="1">
      <c r="A390" s="3"/>
      <c r="B390" s="2"/>
      <c r="C390" s="3"/>
      <c r="D390" s="3"/>
      <c r="E390" s="3"/>
      <c r="F390" s="4"/>
      <c r="G390" s="4"/>
      <c r="H390" s="4"/>
      <c r="I390" s="5"/>
      <c r="J390" s="4"/>
      <c r="K390" s="4"/>
      <c r="L390" s="6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3"/>
      <c r="AL390" s="3"/>
      <c r="AM390" s="3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8"/>
      <c r="BU390" s="8"/>
      <c r="BV390" s="8"/>
      <c r="BW390" s="8"/>
      <c r="BX390" s="3"/>
      <c r="BY390" s="3"/>
      <c r="BZ390" s="3"/>
      <c r="CA390" s="8"/>
      <c r="CB390" s="8"/>
      <c r="CC390" s="8"/>
      <c r="CD390" s="8"/>
      <c r="CE390" s="8"/>
      <c r="CF390" s="8"/>
      <c r="CG390" s="9"/>
      <c r="CH390" s="8"/>
      <c r="CI390" s="8"/>
      <c r="CJ390" s="8"/>
      <c r="CK390" s="8"/>
      <c r="CL390" s="8"/>
      <c r="CM390" s="8"/>
      <c r="CN390" s="8"/>
      <c r="CO390" s="8"/>
      <c r="CP390" s="8"/>
      <c r="CQ390" s="9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9"/>
      <c r="DG390" s="9"/>
      <c r="DH390" s="10"/>
      <c r="DI390" s="9"/>
      <c r="DJ390" s="9"/>
      <c r="DK390" s="3"/>
      <c r="DL390" s="3"/>
      <c r="DM390" s="3"/>
    </row>
    <row r="391" ht="11.25" customHeight="1">
      <c r="A391" s="3"/>
      <c r="B391" s="2"/>
      <c r="C391" s="3"/>
      <c r="D391" s="3"/>
      <c r="E391" s="3"/>
      <c r="F391" s="4"/>
      <c r="G391" s="4"/>
      <c r="H391" s="4"/>
      <c r="I391" s="5"/>
      <c r="J391" s="4"/>
      <c r="K391" s="4"/>
      <c r="L391" s="6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3"/>
      <c r="AL391" s="3"/>
      <c r="AM391" s="3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8"/>
      <c r="BU391" s="8"/>
      <c r="BV391" s="8"/>
      <c r="BW391" s="8"/>
      <c r="BX391" s="3"/>
      <c r="BY391" s="3"/>
      <c r="BZ391" s="3"/>
      <c r="CA391" s="8"/>
      <c r="CB391" s="8"/>
      <c r="CC391" s="8"/>
      <c r="CD391" s="8"/>
      <c r="CE391" s="8"/>
      <c r="CF391" s="8"/>
      <c r="CG391" s="9"/>
      <c r="CH391" s="8"/>
      <c r="CI391" s="8"/>
      <c r="CJ391" s="8"/>
      <c r="CK391" s="8"/>
      <c r="CL391" s="8"/>
      <c r="CM391" s="8"/>
      <c r="CN391" s="8"/>
      <c r="CO391" s="8"/>
      <c r="CP391" s="8"/>
      <c r="CQ391" s="9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9"/>
      <c r="DG391" s="9"/>
      <c r="DH391" s="10"/>
      <c r="DI391" s="9"/>
      <c r="DJ391" s="9"/>
      <c r="DK391" s="3"/>
      <c r="DL391" s="3"/>
      <c r="DM391" s="3"/>
    </row>
    <row r="392" ht="11.25" customHeight="1">
      <c r="A392" s="3"/>
      <c r="B392" s="2"/>
      <c r="C392" s="3"/>
      <c r="D392" s="3"/>
      <c r="E392" s="3"/>
      <c r="F392" s="4"/>
      <c r="G392" s="4"/>
      <c r="H392" s="4"/>
      <c r="I392" s="5"/>
      <c r="J392" s="4"/>
      <c r="K392" s="4"/>
      <c r="L392" s="6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3"/>
      <c r="AL392" s="3"/>
      <c r="AM392" s="3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8"/>
      <c r="BU392" s="8"/>
      <c r="BV392" s="8"/>
      <c r="BW392" s="8"/>
      <c r="BX392" s="3"/>
      <c r="BY392" s="3"/>
      <c r="BZ392" s="3"/>
      <c r="CA392" s="8"/>
      <c r="CB392" s="8"/>
      <c r="CC392" s="8"/>
      <c r="CD392" s="8"/>
      <c r="CE392" s="8"/>
      <c r="CF392" s="8"/>
      <c r="CG392" s="9"/>
      <c r="CH392" s="8"/>
      <c r="CI392" s="8"/>
      <c r="CJ392" s="8"/>
      <c r="CK392" s="8"/>
      <c r="CL392" s="8"/>
      <c r="CM392" s="8"/>
      <c r="CN392" s="8"/>
      <c r="CO392" s="8"/>
      <c r="CP392" s="8"/>
      <c r="CQ392" s="9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9"/>
      <c r="DG392" s="9"/>
      <c r="DH392" s="10"/>
      <c r="DI392" s="9"/>
      <c r="DJ392" s="9"/>
      <c r="DK392" s="3"/>
      <c r="DL392" s="3"/>
      <c r="DM392" s="3"/>
    </row>
    <row r="393" ht="11.25" customHeight="1">
      <c r="A393" s="3"/>
      <c r="B393" s="2"/>
      <c r="C393" s="3"/>
      <c r="D393" s="3"/>
      <c r="E393" s="3"/>
      <c r="F393" s="4"/>
      <c r="G393" s="4"/>
      <c r="H393" s="4"/>
      <c r="I393" s="5"/>
      <c r="J393" s="4"/>
      <c r="K393" s="4"/>
      <c r="L393" s="6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3"/>
      <c r="AL393" s="3"/>
      <c r="AM393" s="3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8"/>
      <c r="BU393" s="8"/>
      <c r="BV393" s="8"/>
      <c r="BW393" s="8"/>
      <c r="BX393" s="3"/>
      <c r="BY393" s="3"/>
      <c r="BZ393" s="3"/>
      <c r="CA393" s="8"/>
      <c r="CB393" s="8"/>
      <c r="CC393" s="8"/>
      <c r="CD393" s="8"/>
      <c r="CE393" s="8"/>
      <c r="CF393" s="8"/>
      <c r="CG393" s="9"/>
      <c r="CH393" s="8"/>
      <c r="CI393" s="8"/>
      <c r="CJ393" s="8"/>
      <c r="CK393" s="8"/>
      <c r="CL393" s="8"/>
      <c r="CM393" s="8"/>
      <c r="CN393" s="8"/>
      <c r="CO393" s="8"/>
      <c r="CP393" s="8"/>
      <c r="CQ393" s="9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9"/>
      <c r="DG393" s="9"/>
      <c r="DH393" s="10"/>
      <c r="DI393" s="9"/>
      <c r="DJ393" s="9"/>
      <c r="DK393" s="3"/>
      <c r="DL393" s="3"/>
      <c r="DM393" s="3"/>
    </row>
    <row r="394" ht="11.25" customHeight="1">
      <c r="A394" s="3"/>
      <c r="B394" s="2"/>
      <c r="C394" s="3"/>
      <c r="D394" s="3"/>
      <c r="E394" s="3"/>
      <c r="F394" s="4"/>
      <c r="G394" s="4"/>
      <c r="H394" s="4"/>
      <c r="I394" s="5"/>
      <c r="J394" s="4"/>
      <c r="K394" s="4"/>
      <c r="L394" s="6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3"/>
      <c r="AL394" s="3"/>
      <c r="AM394" s="3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8"/>
      <c r="BU394" s="8"/>
      <c r="BV394" s="8"/>
      <c r="BW394" s="8"/>
      <c r="BX394" s="3"/>
      <c r="BY394" s="3"/>
      <c r="BZ394" s="3"/>
      <c r="CA394" s="8"/>
      <c r="CB394" s="8"/>
      <c r="CC394" s="8"/>
      <c r="CD394" s="8"/>
      <c r="CE394" s="8"/>
      <c r="CF394" s="8"/>
      <c r="CG394" s="9"/>
      <c r="CH394" s="8"/>
      <c r="CI394" s="8"/>
      <c r="CJ394" s="8"/>
      <c r="CK394" s="8"/>
      <c r="CL394" s="8"/>
      <c r="CM394" s="8"/>
      <c r="CN394" s="8"/>
      <c r="CO394" s="8"/>
      <c r="CP394" s="8"/>
      <c r="CQ394" s="9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9"/>
      <c r="DG394" s="9"/>
      <c r="DH394" s="10"/>
      <c r="DI394" s="9"/>
      <c r="DJ394" s="9"/>
      <c r="DK394" s="3"/>
      <c r="DL394" s="3"/>
      <c r="DM394" s="3"/>
    </row>
    <row r="395" ht="11.25" customHeight="1">
      <c r="A395" s="3"/>
      <c r="B395" s="2"/>
      <c r="C395" s="3"/>
      <c r="D395" s="3"/>
      <c r="E395" s="3"/>
      <c r="F395" s="4"/>
      <c r="G395" s="4"/>
      <c r="H395" s="4"/>
      <c r="I395" s="5"/>
      <c r="J395" s="4"/>
      <c r="K395" s="4"/>
      <c r="L395" s="6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3"/>
      <c r="AL395" s="3"/>
      <c r="AM395" s="3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8"/>
      <c r="BU395" s="8"/>
      <c r="BV395" s="8"/>
      <c r="BW395" s="8"/>
      <c r="BX395" s="3"/>
      <c r="BY395" s="3"/>
      <c r="BZ395" s="3"/>
      <c r="CA395" s="8"/>
      <c r="CB395" s="8"/>
      <c r="CC395" s="8"/>
      <c r="CD395" s="8"/>
      <c r="CE395" s="8"/>
      <c r="CF395" s="8"/>
      <c r="CG395" s="9"/>
      <c r="CH395" s="8"/>
      <c r="CI395" s="8"/>
      <c r="CJ395" s="8"/>
      <c r="CK395" s="8"/>
      <c r="CL395" s="8"/>
      <c r="CM395" s="8"/>
      <c r="CN395" s="8"/>
      <c r="CO395" s="8"/>
      <c r="CP395" s="8"/>
      <c r="CQ395" s="9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9"/>
      <c r="DG395" s="9"/>
      <c r="DH395" s="10"/>
      <c r="DI395" s="9"/>
      <c r="DJ395" s="9"/>
      <c r="DK395" s="3"/>
      <c r="DL395" s="3"/>
      <c r="DM395" s="3"/>
    </row>
    <row r="396" ht="11.25" customHeight="1">
      <c r="A396" s="3"/>
      <c r="B396" s="2"/>
      <c r="C396" s="3"/>
      <c r="D396" s="3"/>
      <c r="E396" s="3"/>
      <c r="F396" s="4"/>
      <c r="G396" s="4"/>
      <c r="H396" s="4"/>
      <c r="I396" s="5"/>
      <c r="J396" s="4"/>
      <c r="K396" s="4"/>
      <c r="L396" s="6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3"/>
      <c r="AL396" s="3"/>
      <c r="AM396" s="3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8"/>
      <c r="BU396" s="8"/>
      <c r="BV396" s="8"/>
      <c r="BW396" s="8"/>
      <c r="BX396" s="3"/>
      <c r="BY396" s="3"/>
      <c r="BZ396" s="3"/>
      <c r="CA396" s="8"/>
      <c r="CB396" s="8"/>
      <c r="CC396" s="8"/>
      <c r="CD396" s="8"/>
      <c r="CE396" s="8"/>
      <c r="CF396" s="8"/>
      <c r="CG396" s="9"/>
      <c r="CH396" s="8"/>
      <c r="CI396" s="8"/>
      <c r="CJ396" s="8"/>
      <c r="CK396" s="8"/>
      <c r="CL396" s="8"/>
      <c r="CM396" s="8"/>
      <c r="CN396" s="8"/>
      <c r="CO396" s="8"/>
      <c r="CP396" s="8"/>
      <c r="CQ396" s="9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9"/>
      <c r="DG396" s="9"/>
      <c r="DH396" s="10"/>
      <c r="DI396" s="9"/>
      <c r="DJ396" s="9"/>
      <c r="DK396" s="3"/>
      <c r="DL396" s="3"/>
      <c r="DM396" s="3"/>
    </row>
    <row r="397" ht="11.25" customHeight="1">
      <c r="A397" s="3"/>
      <c r="B397" s="2"/>
      <c r="C397" s="3"/>
      <c r="D397" s="3"/>
      <c r="E397" s="3"/>
      <c r="F397" s="4"/>
      <c r="G397" s="4"/>
      <c r="H397" s="4"/>
      <c r="I397" s="5"/>
      <c r="J397" s="4"/>
      <c r="K397" s="4"/>
      <c r="L397" s="6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3"/>
      <c r="AL397" s="3"/>
      <c r="AM397" s="3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8"/>
      <c r="BU397" s="8"/>
      <c r="BV397" s="8"/>
      <c r="BW397" s="8"/>
      <c r="BX397" s="3"/>
      <c r="BY397" s="3"/>
      <c r="BZ397" s="3"/>
      <c r="CA397" s="8"/>
      <c r="CB397" s="8"/>
      <c r="CC397" s="8"/>
      <c r="CD397" s="8"/>
      <c r="CE397" s="8"/>
      <c r="CF397" s="8"/>
      <c r="CG397" s="9"/>
      <c r="CH397" s="8"/>
      <c r="CI397" s="8"/>
      <c r="CJ397" s="8"/>
      <c r="CK397" s="8"/>
      <c r="CL397" s="8"/>
      <c r="CM397" s="8"/>
      <c r="CN397" s="8"/>
      <c r="CO397" s="8"/>
      <c r="CP397" s="8"/>
      <c r="CQ397" s="9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9"/>
      <c r="DG397" s="9"/>
      <c r="DH397" s="10"/>
      <c r="DI397" s="9"/>
      <c r="DJ397" s="9"/>
      <c r="DK397" s="3"/>
      <c r="DL397" s="3"/>
      <c r="DM397" s="3"/>
    </row>
    <row r="398" ht="11.25" customHeight="1">
      <c r="A398" s="3"/>
      <c r="B398" s="2"/>
      <c r="C398" s="3"/>
      <c r="D398" s="3"/>
      <c r="E398" s="3"/>
      <c r="F398" s="4"/>
      <c r="G398" s="4"/>
      <c r="H398" s="4"/>
      <c r="I398" s="5"/>
      <c r="J398" s="4"/>
      <c r="K398" s="4"/>
      <c r="L398" s="6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3"/>
      <c r="AL398" s="3"/>
      <c r="AM398" s="3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8"/>
      <c r="BU398" s="8"/>
      <c r="BV398" s="8"/>
      <c r="BW398" s="8"/>
      <c r="BX398" s="3"/>
      <c r="BY398" s="3"/>
      <c r="BZ398" s="3"/>
      <c r="CA398" s="8"/>
      <c r="CB398" s="8"/>
      <c r="CC398" s="8"/>
      <c r="CD398" s="8"/>
      <c r="CE398" s="8"/>
      <c r="CF398" s="8"/>
      <c r="CG398" s="9"/>
      <c r="CH398" s="8"/>
      <c r="CI398" s="8"/>
      <c r="CJ398" s="8"/>
      <c r="CK398" s="8"/>
      <c r="CL398" s="8"/>
      <c r="CM398" s="8"/>
      <c r="CN398" s="8"/>
      <c r="CO398" s="8"/>
      <c r="CP398" s="8"/>
      <c r="CQ398" s="9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9"/>
      <c r="DG398" s="9"/>
      <c r="DH398" s="10"/>
      <c r="DI398" s="9"/>
      <c r="DJ398" s="9"/>
      <c r="DK398" s="3"/>
      <c r="DL398" s="3"/>
      <c r="DM398" s="3"/>
    </row>
    <row r="399" ht="11.25" customHeight="1">
      <c r="A399" s="3"/>
      <c r="B399" s="2"/>
      <c r="C399" s="3"/>
      <c r="D399" s="3"/>
      <c r="E399" s="3"/>
      <c r="F399" s="4"/>
      <c r="G399" s="4"/>
      <c r="H399" s="4"/>
      <c r="I399" s="5"/>
      <c r="J399" s="4"/>
      <c r="K399" s="4"/>
      <c r="L399" s="6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3"/>
      <c r="AL399" s="3"/>
      <c r="AM399" s="3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8"/>
      <c r="BU399" s="8"/>
      <c r="BV399" s="8"/>
      <c r="BW399" s="8"/>
      <c r="BX399" s="3"/>
      <c r="BY399" s="3"/>
      <c r="BZ399" s="3"/>
      <c r="CA399" s="8"/>
      <c r="CB399" s="8"/>
      <c r="CC399" s="8"/>
      <c r="CD399" s="8"/>
      <c r="CE399" s="8"/>
      <c r="CF399" s="8"/>
      <c r="CG399" s="9"/>
      <c r="CH399" s="8"/>
      <c r="CI399" s="8"/>
      <c r="CJ399" s="8"/>
      <c r="CK399" s="8"/>
      <c r="CL399" s="8"/>
      <c r="CM399" s="8"/>
      <c r="CN399" s="8"/>
      <c r="CO399" s="8"/>
      <c r="CP399" s="8"/>
      <c r="CQ399" s="9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9"/>
      <c r="DG399" s="9"/>
      <c r="DH399" s="10"/>
      <c r="DI399" s="9"/>
      <c r="DJ399" s="9"/>
      <c r="DK399" s="3"/>
      <c r="DL399" s="3"/>
      <c r="DM399" s="3"/>
    </row>
    <row r="400" ht="11.25" customHeight="1">
      <c r="A400" s="3"/>
      <c r="B400" s="2"/>
      <c r="C400" s="3"/>
      <c r="D400" s="3"/>
      <c r="E400" s="3"/>
      <c r="F400" s="4"/>
      <c r="G400" s="4"/>
      <c r="H400" s="4"/>
      <c r="I400" s="5"/>
      <c r="J400" s="4"/>
      <c r="K400" s="4"/>
      <c r="L400" s="6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3"/>
      <c r="AL400" s="3"/>
      <c r="AM400" s="3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8"/>
      <c r="BU400" s="8"/>
      <c r="BV400" s="8"/>
      <c r="BW400" s="8"/>
      <c r="BX400" s="3"/>
      <c r="BY400" s="3"/>
      <c r="BZ400" s="3"/>
      <c r="CA400" s="8"/>
      <c r="CB400" s="8"/>
      <c r="CC400" s="8"/>
      <c r="CD400" s="8"/>
      <c r="CE400" s="8"/>
      <c r="CF400" s="8"/>
      <c r="CG400" s="9"/>
      <c r="CH400" s="8"/>
      <c r="CI400" s="8"/>
      <c r="CJ400" s="8"/>
      <c r="CK400" s="8"/>
      <c r="CL400" s="8"/>
      <c r="CM400" s="8"/>
      <c r="CN400" s="8"/>
      <c r="CO400" s="8"/>
      <c r="CP400" s="8"/>
      <c r="CQ400" s="9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9"/>
      <c r="DG400" s="9"/>
      <c r="DH400" s="10"/>
      <c r="DI400" s="9"/>
      <c r="DJ400" s="9"/>
      <c r="DK400" s="3"/>
      <c r="DL400" s="3"/>
      <c r="DM400" s="3"/>
    </row>
    <row r="401" ht="11.25" customHeight="1">
      <c r="A401" s="3"/>
      <c r="B401" s="2"/>
      <c r="C401" s="3"/>
      <c r="D401" s="3"/>
      <c r="E401" s="3"/>
      <c r="F401" s="4"/>
      <c r="G401" s="4"/>
      <c r="H401" s="4"/>
      <c r="I401" s="5"/>
      <c r="J401" s="4"/>
      <c r="K401" s="4"/>
      <c r="L401" s="6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3"/>
      <c r="AL401" s="3"/>
      <c r="AM401" s="3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8"/>
      <c r="BU401" s="8"/>
      <c r="BV401" s="8"/>
      <c r="BW401" s="8"/>
      <c r="BX401" s="3"/>
      <c r="BY401" s="3"/>
      <c r="BZ401" s="3"/>
      <c r="CA401" s="8"/>
      <c r="CB401" s="8"/>
      <c r="CC401" s="8"/>
      <c r="CD401" s="8"/>
      <c r="CE401" s="8"/>
      <c r="CF401" s="8"/>
      <c r="CG401" s="9"/>
      <c r="CH401" s="8"/>
      <c r="CI401" s="8"/>
      <c r="CJ401" s="8"/>
      <c r="CK401" s="8"/>
      <c r="CL401" s="8"/>
      <c r="CM401" s="8"/>
      <c r="CN401" s="8"/>
      <c r="CO401" s="8"/>
      <c r="CP401" s="8"/>
      <c r="CQ401" s="9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9"/>
      <c r="DG401" s="9"/>
      <c r="DH401" s="10"/>
      <c r="DI401" s="9"/>
      <c r="DJ401" s="9"/>
      <c r="DK401" s="3"/>
      <c r="DL401" s="3"/>
      <c r="DM401" s="3"/>
    </row>
    <row r="402" ht="11.25" customHeight="1">
      <c r="A402" s="3"/>
      <c r="B402" s="2"/>
      <c r="C402" s="3"/>
      <c r="D402" s="3"/>
      <c r="E402" s="3"/>
      <c r="F402" s="4"/>
      <c r="G402" s="4"/>
      <c r="H402" s="4"/>
      <c r="I402" s="5"/>
      <c r="J402" s="4"/>
      <c r="K402" s="4"/>
      <c r="L402" s="6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3"/>
      <c r="AL402" s="3"/>
      <c r="AM402" s="3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8"/>
      <c r="BU402" s="8"/>
      <c r="BV402" s="8"/>
      <c r="BW402" s="8"/>
      <c r="BX402" s="3"/>
      <c r="BY402" s="3"/>
      <c r="BZ402" s="3"/>
      <c r="CA402" s="8"/>
      <c r="CB402" s="8"/>
      <c r="CC402" s="8"/>
      <c r="CD402" s="8"/>
      <c r="CE402" s="8"/>
      <c r="CF402" s="8"/>
      <c r="CG402" s="9"/>
      <c r="CH402" s="8"/>
      <c r="CI402" s="8"/>
      <c r="CJ402" s="8"/>
      <c r="CK402" s="8"/>
      <c r="CL402" s="8"/>
      <c r="CM402" s="8"/>
      <c r="CN402" s="8"/>
      <c r="CO402" s="8"/>
      <c r="CP402" s="8"/>
      <c r="CQ402" s="9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9"/>
      <c r="DG402" s="9"/>
      <c r="DH402" s="10"/>
      <c r="DI402" s="9"/>
      <c r="DJ402" s="9"/>
      <c r="DK402" s="3"/>
      <c r="DL402" s="3"/>
      <c r="DM402" s="3"/>
    </row>
    <row r="403" ht="11.25" customHeight="1">
      <c r="A403" s="3"/>
      <c r="B403" s="2"/>
      <c r="C403" s="3"/>
      <c r="D403" s="3"/>
      <c r="E403" s="3"/>
      <c r="F403" s="4"/>
      <c r="G403" s="4"/>
      <c r="H403" s="4"/>
      <c r="I403" s="5"/>
      <c r="J403" s="4"/>
      <c r="K403" s="4"/>
      <c r="L403" s="6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3"/>
      <c r="AL403" s="3"/>
      <c r="AM403" s="3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8"/>
      <c r="BU403" s="8"/>
      <c r="BV403" s="8"/>
      <c r="BW403" s="8"/>
      <c r="BX403" s="3"/>
      <c r="BY403" s="3"/>
      <c r="BZ403" s="3"/>
      <c r="CA403" s="8"/>
      <c r="CB403" s="8"/>
      <c r="CC403" s="8"/>
      <c r="CD403" s="8"/>
      <c r="CE403" s="8"/>
      <c r="CF403" s="8"/>
      <c r="CG403" s="9"/>
      <c r="CH403" s="8"/>
      <c r="CI403" s="8"/>
      <c r="CJ403" s="8"/>
      <c r="CK403" s="8"/>
      <c r="CL403" s="8"/>
      <c r="CM403" s="8"/>
      <c r="CN403" s="8"/>
      <c r="CO403" s="8"/>
      <c r="CP403" s="8"/>
      <c r="CQ403" s="9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9"/>
      <c r="DG403" s="9"/>
      <c r="DH403" s="10"/>
      <c r="DI403" s="9"/>
      <c r="DJ403" s="9"/>
      <c r="DK403" s="3"/>
      <c r="DL403" s="3"/>
      <c r="DM403" s="3"/>
    </row>
    <row r="404" ht="11.25" customHeight="1">
      <c r="A404" s="3"/>
      <c r="B404" s="2"/>
      <c r="C404" s="3"/>
      <c r="D404" s="3"/>
      <c r="E404" s="3"/>
      <c r="F404" s="4"/>
      <c r="G404" s="4"/>
      <c r="H404" s="4"/>
      <c r="I404" s="5"/>
      <c r="J404" s="4"/>
      <c r="K404" s="4"/>
      <c r="L404" s="6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3"/>
      <c r="AL404" s="3"/>
      <c r="AM404" s="3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8"/>
      <c r="BU404" s="8"/>
      <c r="BV404" s="8"/>
      <c r="BW404" s="8"/>
      <c r="BX404" s="3"/>
      <c r="BY404" s="3"/>
      <c r="BZ404" s="3"/>
      <c r="CA404" s="8"/>
      <c r="CB404" s="8"/>
      <c r="CC404" s="8"/>
      <c r="CD404" s="8"/>
      <c r="CE404" s="8"/>
      <c r="CF404" s="8"/>
      <c r="CG404" s="9"/>
      <c r="CH404" s="8"/>
      <c r="CI404" s="8"/>
      <c r="CJ404" s="8"/>
      <c r="CK404" s="8"/>
      <c r="CL404" s="8"/>
      <c r="CM404" s="8"/>
      <c r="CN404" s="8"/>
      <c r="CO404" s="8"/>
      <c r="CP404" s="8"/>
      <c r="CQ404" s="9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9"/>
      <c r="DG404" s="9"/>
      <c r="DH404" s="10"/>
      <c r="DI404" s="9"/>
      <c r="DJ404" s="9"/>
      <c r="DK404" s="3"/>
      <c r="DL404" s="3"/>
      <c r="DM404" s="3"/>
    </row>
    <row r="405" ht="11.25" customHeight="1">
      <c r="A405" s="3"/>
      <c r="B405" s="2"/>
      <c r="C405" s="3"/>
      <c r="D405" s="3"/>
      <c r="E405" s="3"/>
      <c r="F405" s="4"/>
      <c r="G405" s="4"/>
      <c r="H405" s="4"/>
      <c r="I405" s="5"/>
      <c r="J405" s="4"/>
      <c r="K405" s="4"/>
      <c r="L405" s="6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3"/>
      <c r="AL405" s="3"/>
      <c r="AM405" s="3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8"/>
      <c r="BU405" s="8"/>
      <c r="BV405" s="8"/>
      <c r="BW405" s="8"/>
      <c r="BX405" s="3"/>
      <c r="BY405" s="3"/>
      <c r="BZ405" s="3"/>
      <c r="CA405" s="8"/>
      <c r="CB405" s="8"/>
      <c r="CC405" s="8"/>
      <c r="CD405" s="8"/>
      <c r="CE405" s="8"/>
      <c r="CF405" s="8"/>
      <c r="CG405" s="9"/>
      <c r="CH405" s="8"/>
      <c r="CI405" s="8"/>
      <c r="CJ405" s="8"/>
      <c r="CK405" s="8"/>
      <c r="CL405" s="8"/>
      <c r="CM405" s="8"/>
      <c r="CN405" s="8"/>
      <c r="CO405" s="8"/>
      <c r="CP405" s="8"/>
      <c r="CQ405" s="9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9"/>
      <c r="DG405" s="9"/>
      <c r="DH405" s="10"/>
      <c r="DI405" s="9"/>
      <c r="DJ405" s="9"/>
      <c r="DK405" s="3"/>
      <c r="DL405" s="3"/>
      <c r="DM405" s="3"/>
    </row>
    <row r="406" ht="11.25" customHeight="1">
      <c r="A406" s="3"/>
      <c r="B406" s="2"/>
      <c r="C406" s="3"/>
      <c r="D406" s="3"/>
      <c r="E406" s="3"/>
      <c r="F406" s="4"/>
      <c r="G406" s="4"/>
      <c r="H406" s="4"/>
      <c r="I406" s="5"/>
      <c r="J406" s="4"/>
      <c r="K406" s="4"/>
      <c r="L406" s="6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3"/>
      <c r="AL406" s="3"/>
      <c r="AM406" s="3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8"/>
      <c r="BU406" s="8"/>
      <c r="BV406" s="8"/>
      <c r="BW406" s="8"/>
      <c r="BX406" s="3"/>
      <c r="BY406" s="3"/>
      <c r="BZ406" s="3"/>
      <c r="CA406" s="8"/>
      <c r="CB406" s="8"/>
      <c r="CC406" s="8"/>
      <c r="CD406" s="8"/>
      <c r="CE406" s="8"/>
      <c r="CF406" s="8"/>
      <c r="CG406" s="9"/>
      <c r="CH406" s="8"/>
      <c r="CI406" s="8"/>
      <c r="CJ406" s="8"/>
      <c r="CK406" s="8"/>
      <c r="CL406" s="8"/>
      <c r="CM406" s="8"/>
      <c r="CN406" s="8"/>
      <c r="CO406" s="8"/>
      <c r="CP406" s="8"/>
      <c r="CQ406" s="9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9"/>
      <c r="DG406" s="9"/>
      <c r="DH406" s="10"/>
      <c r="DI406" s="9"/>
      <c r="DJ406" s="9"/>
      <c r="DK406" s="3"/>
      <c r="DL406" s="3"/>
      <c r="DM406" s="3"/>
    </row>
    <row r="407" ht="11.25" customHeight="1">
      <c r="A407" s="3"/>
      <c r="B407" s="2"/>
      <c r="C407" s="3"/>
      <c r="D407" s="3"/>
      <c r="E407" s="3"/>
      <c r="F407" s="4"/>
      <c r="G407" s="4"/>
      <c r="H407" s="4"/>
      <c r="I407" s="5"/>
      <c r="J407" s="4"/>
      <c r="K407" s="4"/>
      <c r="L407" s="6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3"/>
      <c r="AL407" s="3"/>
      <c r="AM407" s="3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8"/>
      <c r="BU407" s="8"/>
      <c r="BV407" s="8"/>
      <c r="BW407" s="8"/>
      <c r="BX407" s="3"/>
      <c r="BY407" s="3"/>
      <c r="BZ407" s="3"/>
      <c r="CA407" s="8"/>
      <c r="CB407" s="8"/>
      <c r="CC407" s="8"/>
      <c r="CD407" s="8"/>
      <c r="CE407" s="8"/>
      <c r="CF407" s="8"/>
      <c r="CG407" s="9"/>
      <c r="CH407" s="8"/>
      <c r="CI407" s="8"/>
      <c r="CJ407" s="8"/>
      <c r="CK407" s="8"/>
      <c r="CL407" s="8"/>
      <c r="CM407" s="8"/>
      <c r="CN407" s="8"/>
      <c r="CO407" s="8"/>
      <c r="CP407" s="8"/>
      <c r="CQ407" s="9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9"/>
      <c r="DG407" s="9"/>
      <c r="DH407" s="10"/>
      <c r="DI407" s="9"/>
      <c r="DJ407" s="9"/>
      <c r="DK407" s="3"/>
      <c r="DL407" s="3"/>
      <c r="DM407" s="3"/>
    </row>
    <row r="408" ht="11.25" customHeight="1">
      <c r="A408" s="3"/>
      <c r="B408" s="2"/>
      <c r="C408" s="3"/>
      <c r="D408" s="3"/>
      <c r="E408" s="3"/>
      <c r="F408" s="4"/>
      <c r="G408" s="4"/>
      <c r="H408" s="4"/>
      <c r="I408" s="5"/>
      <c r="J408" s="4"/>
      <c r="K408" s="4"/>
      <c r="L408" s="6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3"/>
      <c r="AL408" s="3"/>
      <c r="AM408" s="3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8"/>
      <c r="BU408" s="8"/>
      <c r="BV408" s="8"/>
      <c r="BW408" s="8"/>
      <c r="BX408" s="3"/>
      <c r="BY408" s="3"/>
      <c r="BZ408" s="3"/>
      <c r="CA408" s="8"/>
      <c r="CB408" s="8"/>
      <c r="CC408" s="8"/>
      <c r="CD408" s="8"/>
      <c r="CE408" s="8"/>
      <c r="CF408" s="8"/>
      <c r="CG408" s="9"/>
      <c r="CH408" s="8"/>
      <c r="CI408" s="8"/>
      <c r="CJ408" s="8"/>
      <c r="CK408" s="8"/>
      <c r="CL408" s="8"/>
      <c r="CM408" s="8"/>
      <c r="CN408" s="8"/>
      <c r="CO408" s="8"/>
      <c r="CP408" s="8"/>
      <c r="CQ408" s="9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9"/>
      <c r="DG408" s="9"/>
      <c r="DH408" s="10"/>
      <c r="DI408" s="9"/>
      <c r="DJ408" s="9"/>
      <c r="DK408" s="3"/>
      <c r="DL408" s="3"/>
      <c r="DM408" s="3"/>
    </row>
    <row r="409" ht="11.25" customHeight="1">
      <c r="A409" s="3"/>
      <c r="B409" s="2"/>
      <c r="C409" s="3"/>
      <c r="D409" s="3"/>
      <c r="E409" s="3"/>
      <c r="F409" s="4"/>
      <c r="G409" s="4"/>
      <c r="H409" s="4"/>
      <c r="I409" s="5"/>
      <c r="J409" s="4"/>
      <c r="K409" s="4"/>
      <c r="L409" s="6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3"/>
      <c r="AL409" s="3"/>
      <c r="AM409" s="3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8"/>
      <c r="BU409" s="8"/>
      <c r="BV409" s="8"/>
      <c r="BW409" s="8"/>
      <c r="BX409" s="3"/>
      <c r="BY409" s="3"/>
      <c r="BZ409" s="3"/>
      <c r="CA409" s="8"/>
      <c r="CB409" s="8"/>
      <c r="CC409" s="8"/>
      <c r="CD409" s="8"/>
      <c r="CE409" s="8"/>
      <c r="CF409" s="8"/>
      <c r="CG409" s="9"/>
      <c r="CH409" s="8"/>
      <c r="CI409" s="8"/>
      <c r="CJ409" s="8"/>
      <c r="CK409" s="8"/>
      <c r="CL409" s="8"/>
      <c r="CM409" s="8"/>
      <c r="CN409" s="8"/>
      <c r="CO409" s="8"/>
      <c r="CP409" s="8"/>
      <c r="CQ409" s="9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9"/>
      <c r="DG409" s="9"/>
      <c r="DH409" s="10"/>
      <c r="DI409" s="9"/>
      <c r="DJ409" s="9"/>
      <c r="DK409" s="3"/>
      <c r="DL409" s="3"/>
      <c r="DM409" s="3"/>
    </row>
    <row r="410" ht="11.25" customHeight="1">
      <c r="A410" s="3"/>
      <c r="B410" s="2"/>
      <c r="C410" s="3"/>
      <c r="D410" s="3"/>
      <c r="E410" s="3"/>
      <c r="F410" s="4"/>
      <c r="G410" s="4"/>
      <c r="H410" s="4"/>
      <c r="I410" s="5"/>
      <c r="J410" s="4"/>
      <c r="K410" s="4"/>
      <c r="L410" s="6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3"/>
      <c r="AL410" s="3"/>
      <c r="AM410" s="3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8"/>
      <c r="BU410" s="8"/>
      <c r="BV410" s="8"/>
      <c r="BW410" s="8"/>
      <c r="BX410" s="3"/>
      <c r="BY410" s="3"/>
      <c r="BZ410" s="3"/>
      <c r="CA410" s="8"/>
      <c r="CB410" s="8"/>
      <c r="CC410" s="8"/>
      <c r="CD410" s="8"/>
      <c r="CE410" s="8"/>
      <c r="CF410" s="8"/>
      <c r="CG410" s="9"/>
      <c r="CH410" s="8"/>
      <c r="CI410" s="8"/>
      <c r="CJ410" s="8"/>
      <c r="CK410" s="8"/>
      <c r="CL410" s="8"/>
      <c r="CM410" s="8"/>
      <c r="CN410" s="8"/>
      <c r="CO410" s="8"/>
      <c r="CP410" s="8"/>
      <c r="CQ410" s="9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9"/>
      <c r="DG410" s="9"/>
      <c r="DH410" s="10"/>
      <c r="DI410" s="9"/>
      <c r="DJ410" s="9"/>
      <c r="DK410" s="3"/>
      <c r="DL410" s="3"/>
      <c r="DM410" s="3"/>
    </row>
    <row r="411" ht="11.25" customHeight="1">
      <c r="A411" s="3"/>
      <c r="B411" s="2"/>
      <c r="C411" s="3"/>
      <c r="D411" s="3"/>
      <c r="E411" s="3"/>
      <c r="F411" s="4"/>
      <c r="G411" s="4"/>
      <c r="H411" s="4"/>
      <c r="I411" s="5"/>
      <c r="J411" s="4"/>
      <c r="K411" s="4"/>
      <c r="L411" s="6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3"/>
      <c r="AL411" s="3"/>
      <c r="AM411" s="3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8"/>
      <c r="BU411" s="8"/>
      <c r="BV411" s="8"/>
      <c r="BW411" s="8"/>
      <c r="BX411" s="3"/>
      <c r="BY411" s="3"/>
      <c r="BZ411" s="3"/>
      <c r="CA411" s="8"/>
      <c r="CB411" s="8"/>
      <c r="CC411" s="8"/>
      <c r="CD411" s="8"/>
      <c r="CE411" s="8"/>
      <c r="CF411" s="8"/>
      <c r="CG411" s="9"/>
      <c r="CH411" s="8"/>
      <c r="CI411" s="8"/>
      <c r="CJ411" s="8"/>
      <c r="CK411" s="8"/>
      <c r="CL411" s="8"/>
      <c r="CM411" s="8"/>
      <c r="CN411" s="8"/>
      <c r="CO411" s="8"/>
      <c r="CP411" s="8"/>
      <c r="CQ411" s="9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9"/>
      <c r="DG411" s="9"/>
      <c r="DH411" s="10"/>
      <c r="DI411" s="9"/>
      <c r="DJ411" s="9"/>
      <c r="DK411" s="3"/>
      <c r="DL411" s="3"/>
      <c r="DM411" s="3"/>
    </row>
    <row r="412" ht="11.25" customHeight="1">
      <c r="A412" s="3"/>
      <c r="B412" s="2"/>
      <c r="C412" s="3"/>
      <c r="D412" s="3"/>
      <c r="E412" s="3"/>
      <c r="F412" s="4"/>
      <c r="G412" s="4"/>
      <c r="H412" s="4"/>
      <c r="I412" s="5"/>
      <c r="J412" s="4"/>
      <c r="K412" s="4"/>
      <c r="L412" s="6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3"/>
      <c r="AL412" s="3"/>
      <c r="AM412" s="3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8"/>
      <c r="BU412" s="8"/>
      <c r="BV412" s="8"/>
      <c r="BW412" s="8"/>
      <c r="BX412" s="3"/>
      <c r="BY412" s="3"/>
      <c r="BZ412" s="3"/>
      <c r="CA412" s="8"/>
      <c r="CB412" s="8"/>
      <c r="CC412" s="8"/>
      <c r="CD412" s="8"/>
      <c r="CE412" s="8"/>
      <c r="CF412" s="8"/>
      <c r="CG412" s="9"/>
      <c r="CH412" s="8"/>
      <c r="CI412" s="8"/>
      <c r="CJ412" s="8"/>
      <c r="CK412" s="8"/>
      <c r="CL412" s="8"/>
      <c r="CM412" s="8"/>
      <c r="CN412" s="8"/>
      <c r="CO412" s="8"/>
      <c r="CP412" s="8"/>
      <c r="CQ412" s="9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9"/>
      <c r="DG412" s="9"/>
      <c r="DH412" s="10"/>
      <c r="DI412" s="9"/>
      <c r="DJ412" s="9"/>
      <c r="DK412" s="3"/>
      <c r="DL412" s="3"/>
      <c r="DM412" s="3"/>
    </row>
    <row r="413" ht="11.25" customHeight="1">
      <c r="A413" s="3"/>
      <c r="B413" s="2"/>
      <c r="C413" s="3"/>
      <c r="D413" s="3"/>
      <c r="E413" s="3"/>
      <c r="F413" s="4"/>
      <c r="G413" s="4"/>
      <c r="H413" s="4"/>
      <c r="I413" s="5"/>
      <c r="J413" s="4"/>
      <c r="K413" s="4"/>
      <c r="L413" s="6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3"/>
      <c r="AL413" s="3"/>
      <c r="AM413" s="3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8"/>
      <c r="BU413" s="8"/>
      <c r="BV413" s="8"/>
      <c r="BW413" s="8"/>
      <c r="BX413" s="3"/>
      <c r="BY413" s="3"/>
      <c r="BZ413" s="3"/>
      <c r="CA413" s="8"/>
      <c r="CB413" s="8"/>
      <c r="CC413" s="8"/>
      <c r="CD413" s="8"/>
      <c r="CE413" s="8"/>
      <c r="CF413" s="8"/>
      <c r="CG413" s="9"/>
      <c r="CH413" s="8"/>
      <c r="CI413" s="8"/>
      <c r="CJ413" s="8"/>
      <c r="CK413" s="8"/>
      <c r="CL413" s="8"/>
      <c r="CM413" s="8"/>
      <c r="CN413" s="8"/>
      <c r="CO413" s="8"/>
      <c r="CP413" s="8"/>
      <c r="CQ413" s="9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9"/>
      <c r="DG413" s="9"/>
      <c r="DH413" s="10"/>
      <c r="DI413" s="9"/>
      <c r="DJ413" s="9"/>
      <c r="DK413" s="3"/>
      <c r="DL413" s="3"/>
      <c r="DM413" s="3"/>
    </row>
    <row r="414" ht="11.25" customHeight="1">
      <c r="A414" s="3"/>
      <c r="B414" s="2"/>
      <c r="C414" s="3"/>
      <c r="D414" s="3"/>
      <c r="E414" s="3"/>
      <c r="F414" s="4"/>
      <c r="G414" s="4"/>
      <c r="H414" s="4"/>
      <c r="I414" s="5"/>
      <c r="J414" s="4"/>
      <c r="K414" s="4"/>
      <c r="L414" s="6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3"/>
      <c r="AL414" s="3"/>
      <c r="AM414" s="3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8"/>
      <c r="BU414" s="8"/>
      <c r="BV414" s="8"/>
      <c r="BW414" s="8"/>
      <c r="BX414" s="3"/>
      <c r="BY414" s="3"/>
      <c r="BZ414" s="3"/>
      <c r="CA414" s="8"/>
      <c r="CB414" s="8"/>
      <c r="CC414" s="8"/>
      <c r="CD414" s="8"/>
      <c r="CE414" s="8"/>
      <c r="CF414" s="8"/>
      <c r="CG414" s="9"/>
      <c r="CH414" s="8"/>
      <c r="CI414" s="8"/>
      <c r="CJ414" s="8"/>
      <c r="CK414" s="8"/>
      <c r="CL414" s="8"/>
      <c r="CM414" s="8"/>
      <c r="CN414" s="8"/>
      <c r="CO414" s="8"/>
      <c r="CP414" s="8"/>
      <c r="CQ414" s="9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9"/>
      <c r="DG414" s="9"/>
      <c r="DH414" s="10"/>
      <c r="DI414" s="9"/>
      <c r="DJ414" s="9"/>
      <c r="DK414" s="3"/>
      <c r="DL414" s="3"/>
      <c r="DM414" s="3"/>
    </row>
    <row r="415" ht="11.25" customHeight="1">
      <c r="A415" s="3"/>
      <c r="B415" s="2"/>
      <c r="C415" s="3"/>
      <c r="D415" s="3"/>
      <c r="E415" s="3"/>
      <c r="F415" s="4"/>
      <c r="G415" s="4"/>
      <c r="H415" s="4"/>
      <c r="I415" s="5"/>
      <c r="J415" s="4"/>
      <c r="K415" s="4"/>
      <c r="L415" s="6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3"/>
      <c r="AL415" s="3"/>
      <c r="AM415" s="3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8"/>
      <c r="BU415" s="8"/>
      <c r="BV415" s="8"/>
      <c r="BW415" s="8"/>
      <c r="BX415" s="3"/>
      <c r="BY415" s="3"/>
      <c r="BZ415" s="3"/>
      <c r="CA415" s="8"/>
      <c r="CB415" s="8"/>
      <c r="CC415" s="8"/>
      <c r="CD415" s="8"/>
      <c r="CE415" s="8"/>
      <c r="CF415" s="8"/>
      <c r="CG415" s="9"/>
      <c r="CH415" s="8"/>
      <c r="CI415" s="8"/>
      <c r="CJ415" s="8"/>
      <c r="CK415" s="8"/>
      <c r="CL415" s="8"/>
      <c r="CM415" s="8"/>
      <c r="CN415" s="8"/>
      <c r="CO415" s="8"/>
      <c r="CP415" s="8"/>
      <c r="CQ415" s="9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9"/>
      <c r="DG415" s="9"/>
      <c r="DH415" s="10"/>
      <c r="DI415" s="9"/>
      <c r="DJ415" s="9"/>
      <c r="DK415" s="3"/>
      <c r="DL415" s="3"/>
      <c r="DM415" s="3"/>
    </row>
    <row r="416" ht="11.25" customHeight="1">
      <c r="A416" s="3"/>
      <c r="B416" s="2"/>
      <c r="C416" s="3"/>
      <c r="D416" s="3"/>
      <c r="E416" s="3"/>
      <c r="F416" s="4"/>
      <c r="G416" s="4"/>
      <c r="H416" s="4"/>
      <c r="I416" s="5"/>
      <c r="J416" s="4"/>
      <c r="K416" s="4"/>
      <c r="L416" s="6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3"/>
      <c r="AL416" s="3"/>
      <c r="AM416" s="3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8"/>
      <c r="BU416" s="8"/>
      <c r="BV416" s="8"/>
      <c r="BW416" s="8"/>
      <c r="BX416" s="3"/>
      <c r="BY416" s="3"/>
      <c r="BZ416" s="3"/>
      <c r="CA416" s="8"/>
      <c r="CB416" s="8"/>
      <c r="CC416" s="8"/>
      <c r="CD416" s="8"/>
      <c r="CE416" s="8"/>
      <c r="CF416" s="8"/>
      <c r="CG416" s="9"/>
      <c r="CH416" s="8"/>
      <c r="CI416" s="8"/>
      <c r="CJ416" s="8"/>
      <c r="CK416" s="8"/>
      <c r="CL416" s="8"/>
      <c r="CM416" s="8"/>
      <c r="CN416" s="8"/>
      <c r="CO416" s="8"/>
      <c r="CP416" s="8"/>
      <c r="CQ416" s="9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9"/>
      <c r="DG416" s="9"/>
      <c r="DH416" s="10"/>
      <c r="DI416" s="9"/>
      <c r="DJ416" s="9"/>
      <c r="DK416" s="3"/>
      <c r="DL416" s="3"/>
      <c r="DM416" s="3"/>
    </row>
    <row r="417" ht="11.25" customHeight="1">
      <c r="A417" s="3"/>
      <c r="B417" s="2"/>
      <c r="C417" s="3"/>
      <c r="D417" s="3"/>
      <c r="E417" s="3"/>
      <c r="F417" s="4"/>
      <c r="G417" s="4"/>
      <c r="H417" s="4"/>
      <c r="I417" s="5"/>
      <c r="J417" s="4"/>
      <c r="K417" s="4"/>
      <c r="L417" s="6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3"/>
      <c r="AL417" s="3"/>
      <c r="AM417" s="3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8"/>
      <c r="BU417" s="8"/>
      <c r="BV417" s="8"/>
      <c r="BW417" s="8"/>
      <c r="BX417" s="3"/>
      <c r="BY417" s="3"/>
      <c r="BZ417" s="3"/>
      <c r="CA417" s="8"/>
      <c r="CB417" s="8"/>
      <c r="CC417" s="8"/>
      <c r="CD417" s="8"/>
      <c r="CE417" s="8"/>
      <c r="CF417" s="8"/>
      <c r="CG417" s="9"/>
      <c r="CH417" s="8"/>
      <c r="CI417" s="8"/>
      <c r="CJ417" s="8"/>
      <c r="CK417" s="8"/>
      <c r="CL417" s="8"/>
      <c r="CM417" s="8"/>
      <c r="CN417" s="8"/>
      <c r="CO417" s="8"/>
      <c r="CP417" s="8"/>
      <c r="CQ417" s="9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9"/>
      <c r="DG417" s="9"/>
      <c r="DH417" s="10"/>
      <c r="DI417" s="9"/>
      <c r="DJ417" s="9"/>
      <c r="DK417" s="3"/>
      <c r="DL417" s="3"/>
      <c r="DM417" s="3"/>
    </row>
    <row r="418" ht="11.25" customHeight="1">
      <c r="A418" s="3"/>
      <c r="B418" s="2"/>
      <c r="C418" s="3"/>
      <c r="D418" s="3"/>
      <c r="E418" s="3"/>
      <c r="F418" s="4"/>
      <c r="G418" s="4"/>
      <c r="H418" s="4"/>
      <c r="I418" s="5"/>
      <c r="J418" s="4"/>
      <c r="K418" s="4"/>
      <c r="L418" s="6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3"/>
      <c r="AL418" s="3"/>
      <c r="AM418" s="3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8"/>
      <c r="BU418" s="8"/>
      <c r="BV418" s="8"/>
      <c r="BW418" s="8"/>
      <c r="BX418" s="3"/>
      <c r="BY418" s="3"/>
      <c r="BZ418" s="3"/>
      <c r="CA418" s="8"/>
      <c r="CB418" s="8"/>
      <c r="CC418" s="8"/>
      <c r="CD418" s="8"/>
      <c r="CE418" s="8"/>
      <c r="CF418" s="8"/>
      <c r="CG418" s="9"/>
      <c r="CH418" s="8"/>
      <c r="CI418" s="8"/>
      <c r="CJ418" s="8"/>
      <c r="CK418" s="8"/>
      <c r="CL418" s="8"/>
      <c r="CM418" s="8"/>
      <c r="CN418" s="8"/>
      <c r="CO418" s="8"/>
      <c r="CP418" s="8"/>
      <c r="CQ418" s="9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9"/>
      <c r="DG418" s="9"/>
      <c r="DH418" s="10"/>
      <c r="DI418" s="9"/>
      <c r="DJ418" s="9"/>
      <c r="DK418" s="3"/>
      <c r="DL418" s="3"/>
      <c r="DM418" s="3"/>
    </row>
    <row r="419" ht="11.25" customHeight="1">
      <c r="A419" s="3"/>
      <c r="B419" s="2"/>
      <c r="C419" s="3"/>
      <c r="D419" s="3"/>
      <c r="E419" s="3"/>
      <c r="F419" s="4"/>
      <c r="G419" s="4"/>
      <c r="H419" s="4"/>
      <c r="I419" s="5"/>
      <c r="J419" s="4"/>
      <c r="K419" s="4"/>
      <c r="L419" s="6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3"/>
      <c r="AL419" s="3"/>
      <c r="AM419" s="3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8"/>
      <c r="BU419" s="8"/>
      <c r="BV419" s="8"/>
      <c r="BW419" s="8"/>
      <c r="BX419" s="3"/>
      <c r="BY419" s="3"/>
      <c r="BZ419" s="3"/>
      <c r="CA419" s="8"/>
      <c r="CB419" s="8"/>
      <c r="CC419" s="8"/>
      <c r="CD419" s="8"/>
      <c r="CE419" s="8"/>
      <c r="CF419" s="8"/>
      <c r="CG419" s="9"/>
      <c r="CH419" s="8"/>
      <c r="CI419" s="8"/>
      <c r="CJ419" s="8"/>
      <c r="CK419" s="8"/>
      <c r="CL419" s="8"/>
      <c r="CM419" s="8"/>
      <c r="CN419" s="8"/>
      <c r="CO419" s="8"/>
      <c r="CP419" s="8"/>
      <c r="CQ419" s="9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9"/>
      <c r="DG419" s="9"/>
      <c r="DH419" s="10"/>
      <c r="DI419" s="9"/>
      <c r="DJ419" s="9"/>
      <c r="DK419" s="3"/>
      <c r="DL419" s="3"/>
      <c r="DM419" s="3"/>
    </row>
    <row r="420" ht="11.25" customHeight="1">
      <c r="A420" s="3"/>
      <c r="B420" s="2"/>
      <c r="C420" s="3"/>
      <c r="D420" s="3"/>
      <c r="E420" s="3"/>
      <c r="F420" s="4"/>
      <c r="G420" s="4"/>
      <c r="H420" s="4"/>
      <c r="I420" s="5"/>
      <c r="J420" s="4"/>
      <c r="K420" s="4"/>
      <c r="L420" s="6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3"/>
      <c r="AL420" s="3"/>
      <c r="AM420" s="3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8"/>
      <c r="BU420" s="8"/>
      <c r="BV420" s="8"/>
      <c r="BW420" s="8"/>
      <c r="BX420" s="3"/>
      <c r="BY420" s="3"/>
      <c r="BZ420" s="3"/>
      <c r="CA420" s="8"/>
      <c r="CB420" s="8"/>
      <c r="CC420" s="8"/>
      <c r="CD420" s="8"/>
      <c r="CE420" s="8"/>
      <c r="CF420" s="8"/>
      <c r="CG420" s="9"/>
      <c r="CH420" s="8"/>
      <c r="CI420" s="8"/>
      <c r="CJ420" s="8"/>
      <c r="CK420" s="8"/>
      <c r="CL420" s="8"/>
      <c r="CM420" s="8"/>
      <c r="CN420" s="8"/>
      <c r="CO420" s="8"/>
      <c r="CP420" s="8"/>
      <c r="CQ420" s="9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9"/>
      <c r="DG420" s="9"/>
      <c r="DH420" s="10"/>
      <c r="DI420" s="9"/>
      <c r="DJ420" s="9"/>
      <c r="DK420" s="3"/>
      <c r="DL420" s="3"/>
      <c r="DM420" s="3"/>
    </row>
    <row r="421" ht="11.25" customHeight="1">
      <c r="A421" s="3"/>
      <c r="B421" s="2"/>
      <c r="C421" s="3"/>
      <c r="D421" s="3"/>
      <c r="E421" s="3"/>
      <c r="F421" s="4"/>
      <c r="G421" s="4"/>
      <c r="H421" s="4"/>
      <c r="I421" s="5"/>
      <c r="J421" s="4"/>
      <c r="K421" s="4"/>
      <c r="L421" s="6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3"/>
      <c r="AL421" s="3"/>
      <c r="AM421" s="3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8"/>
      <c r="BU421" s="8"/>
      <c r="BV421" s="8"/>
      <c r="BW421" s="8"/>
      <c r="BX421" s="3"/>
      <c r="BY421" s="3"/>
      <c r="BZ421" s="3"/>
      <c r="CA421" s="8"/>
      <c r="CB421" s="8"/>
      <c r="CC421" s="8"/>
      <c r="CD421" s="8"/>
      <c r="CE421" s="8"/>
      <c r="CF421" s="8"/>
      <c r="CG421" s="9"/>
      <c r="CH421" s="8"/>
      <c r="CI421" s="8"/>
      <c r="CJ421" s="8"/>
      <c r="CK421" s="8"/>
      <c r="CL421" s="8"/>
      <c r="CM421" s="8"/>
      <c r="CN421" s="8"/>
      <c r="CO421" s="8"/>
      <c r="CP421" s="8"/>
      <c r="CQ421" s="9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9"/>
      <c r="DG421" s="9"/>
      <c r="DH421" s="10"/>
      <c r="DI421" s="9"/>
      <c r="DJ421" s="9"/>
      <c r="DK421" s="3"/>
      <c r="DL421" s="3"/>
      <c r="DM421" s="3"/>
    </row>
    <row r="422" ht="11.25" customHeight="1">
      <c r="A422" s="3"/>
      <c r="B422" s="2"/>
      <c r="C422" s="3"/>
      <c r="D422" s="3"/>
      <c r="E422" s="3"/>
      <c r="F422" s="4"/>
      <c r="G422" s="4"/>
      <c r="H422" s="4"/>
      <c r="I422" s="5"/>
      <c r="J422" s="4"/>
      <c r="K422" s="4"/>
      <c r="L422" s="6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3"/>
      <c r="AL422" s="3"/>
      <c r="AM422" s="3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8"/>
      <c r="BU422" s="8"/>
      <c r="BV422" s="8"/>
      <c r="BW422" s="8"/>
      <c r="BX422" s="3"/>
      <c r="BY422" s="3"/>
      <c r="BZ422" s="3"/>
      <c r="CA422" s="8"/>
      <c r="CB422" s="8"/>
      <c r="CC422" s="8"/>
      <c r="CD422" s="8"/>
      <c r="CE422" s="8"/>
      <c r="CF422" s="8"/>
      <c r="CG422" s="9"/>
      <c r="CH422" s="8"/>
      <c r="CI422" s="8"/>
      <c r="CJ422" s="8"/>
      <c r="CK422" s="8"/>
      <c r="CL422" s="8"/>
      <c r="CM422" s="8"/>
      <c r="CN422" s="8"/>
      <c r="CO422" s="8"/>
      <c r="CP422" s="8"/>
      <c r="CQ422" s="9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9"/>
      <c r="DG422" s="9"/>
      <c r="DH422" s="10"/>
      <c r="DI422" s="9"/>
      <c r="DJ422" s="9"/>
      <c r="DK422" s="3"/>
      <c r="DL422" s="3"/>
      <c r="DM422" s="3"/>
    </row>
    <row r="423" ht="11.25" customHeight="1">
      <c r="A423" s="3"/>
      <c r="B423" s="2"/>
      <c r="C423" s="3"/>
      <c r="D423" s="3"/>
      <c r="E423" s="3"/>
      <c r="F423" s="4"/>
      <c r="G423" s="4"/>
      <c r="H423" s="4"/>
      <c r="I423" s="5"/>
      <c r="J423" s="4"/>
      <c r="K423" s="4"/>
      <c r="L423" s="6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3"/>
      <c r="AL423" s="3"/>
      <c r="AM423" s="3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8"/>
      <c r="BU423" s="8"/>
      <c r="BV423" s="8"/>
      <c r="BW423" s="8"/>
      <c r="BX423" s="3"/>
      <c r="BY423" s="3"/>
      <c r="BZ423" s="3"/>
      <c r="CA423" s="8"/>
      <c r="CB423" s="8"/>
      <c r="CC423" s="8"/>
      <c r="CD423" s="8"/>
      <c r="CE423" s="8"/>
      <c r="CF423" s="8"/>
      <c r="CG423" s="9"/>
      <c r="CH423" s="8"/>
      <c r="CI423" s="8"/>
      <c r="CJ423" s="8"/>
      <c r="CK423" s="8"/>
      <c r="CL423" s="8"/>
      <c r="CM423" s="8"/>
      <c r="CN423" s="8"/>
      <c r="CO423" s="8"/>
      <c r="CP423" s="8"/>
      <c r="CQ423" s="9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9"/>
      <c r="DG423" s="9"/>
      <c r="DH423" s="10"/>
      <c r="DI423" s="9"/>
      <c r="DJ423" s="9"/>
      <c r="DK423" s="3"/>
      <c r="DL423" s="3"/>
      <c r="DM423" s="3"/>
    </row>
    <row r="424" ht="11.25" customHeight="1">
      <c r="A424" s="3"/>
      <c r="B424" s="2"/>
      <c r="C424" s="3"/>
      <c r="D424" s="3"/>
      <c r="E424" s="3"/>
      <c r="F424" s="4"/>
      <c r="G424" s="4"/>
      <c r="H424" s="4"/>
      <c r="I424" s="5"/>
      <c r="J424" s="4"/>
      <c r="K424" s="4"/>
      <c r="L424" s="6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3"/>
      <c r="AL424" s="3"/>
      <c r="AM424" s="3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8"/>
      <c r="BU424" s="8"/>
      <c r="BV424" s="8"/>
      <c r="BW424" s="8"/>
      <c r="BX424" s="3"/>
      <c r="BY424" s="3"/>
      <c r="BZ424" s="3"/>
      <c r="CA424" s="8"/>
      <c r="CB424" s="8"/>
      <c r="CC424" s="8"/>
      <c r="CD424" s="8"/>
      <c r="CE424" s="8"/>
      <c r="CF424" s="8"/>
      <c r="CG424" s="9"/>
      <c r="CH424" s="8"/>
      <c r="CI424" s="8"/>
      <c r="CJ424" s="8"/>
      <c r="CK424" s="8"/>
      <c r="CL424" s="8"/>
      <c r="CM424" s="8"/>
      <c r="CN424" s="8"/>
      <c r="CO424" s="8"/>
      <c r="CP424" s="8"/>
      <c r="CQ424" s="9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9"/>
      <c r="DG424" s="9"/>
      <c r="DH424" s="10"/>
      <c r="DI424" s="9"/>
      <c r="DJ424" s="9"/>
      <c r="DK424" s="3"/>
      <c r="DL424" s="3"/>
      <c r="DM424" s="3"/>
    </row>
    <row r="425" ht="11.25" customHeight="1">
      <c r="A425" s="3"/>
      <c r="B425" s="2"/>
      <c r="C425" s="3"/>
      <c r="D425" s="3"/>
      <c r="E425" s="3"/>
      <c r="F425" s="4"/>
      <c r="G425" s="4"/>
      <c r="H425" s="4"/>
      <c r="I425" s="5"/>
      <c r="J425" s="4"/>
      <c r="K425" s="4"/>
      <c r="L425" s="6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3"/>
      <c r="AL425" s="3"/>
      <c r="AM425" s="3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8"/>
      <c r="BU425" s="8"/>
      <c r="BV425" s="8"/>
      <c r="BW425" s="8"/>
      <c r="BX425" s="3"/>
      <c r="BY425" s="3"/>
      <c r="BZ425" s="3"/>
      <c r="CA425" s="8"/>
      <c r="CB425" s="8"/>
      <c r="CC425" s="8"/>
      <c r="CD425" s="8"/>
      <c r="CE425" s="8"/>
      <c r="CF425" s="8"/>
      <c r="CG425" s="9"/>
      <c r="CH425" s="8"/>
      <c r="CI425" s="8"/>
      <c r="CJ425" s="8"/>
      <c r="CK425" s="8"/>
      <c r="CL425" s="8"/>
      <c r="CM425" s="8"/>
      <c r="CN425" s="8"/>
      <c r="CO425" s="8"/>
      <c r="CP425" s="8"/>
      <c r="CQ425" s="9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9"/>
      <c r="DG425" s="9"/>
      <c r="DH425" s="10"/>
      <c r="DI425" s="9"/>
      <c r="DJ425" s="9"/>
      <c r="DK425" s="3"/>
      <c r="DL425" s="3"/>
      <c r="DM425" s="3"/>
    </row>
    <row r="426" ht="11.25" customHeight="1">
      <c r="A426" s="3"/>
      <c r="B426" s="2"/>
      <c r="C426" s="3"/>
      <c r="D426" s="3"/>
      <c r="E426" s="3"/>
      <c r="F426" s="4"/>
      <c r="G426" s="4"/>
      <c r="H426" s="4"/>
      <c r="I426" s="5"/>
      <c r="J426" s="4"/>
      <c r="K426" s="4"/>
      <c r="L426" s="6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3"/>
      <c r="AL426" s="3"/>
      <c r="AM426" s="3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8"/>
      <c r="BU426" s="8"/>
      <c r="BV426" s="8"/>
      <c r="BW426" s="8"/>
      <c r="BX426" s="3"/>
      <c r="BY426" s="3"/>
      <c r="BZ426" s="3"/>
      <c r="CA426" s="8"/>
      <c r="CB426" s="8"/>
      <c r="CC426" s="8"/>
      <c r="CD426" s="8"/>
      <c r="CE426" s="8"/>
      <c r="CF426" s="8"/>
      <c r="CG426" s="9"/>
      <c r="CH426" s="8"/>
      <c r="CI426" s="8"/>
      <c r="CJ426" s="8"/>
      <c r="CK426" s="8"/>
      <c r="CL426" s="8"/>
      <c r="CM426" s="8"/>
      <c r="CN426" s="8"/>
      <c r="CO426" s="8"/>
      <c r="CP426" s="8"/>
      <c r="CQ426" s="9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9"/>
      <c r="DG426" s="9"/>
      <c r="DH426" s="10"/>
      <c r="DI426" s="9"/>
      <c r="DJ426" s="9"/>
      <c r="DK426" s="3"/>
      <c r="DL426" s="3"/>
      <c r="DM426" s="3"/>
    </row>
    <row r="427" ht="11.25" customHeight="1">
      <c r="A427" s="3"/>
      <c r="B427" s="2"/>
      <c r="C427" s="3"/>
      <c r="D427" s="3"/>
      <c r="E427" s="3"/>
      <c r="F427" s="4"/>
      <c r="G427" s="4"/>
      <c r="H427" s="4"/>
      <c r="I427" s="5"/>
      <c r="J427" s="4"/>
      <c r="K427" s="4"/>
      <c r="L427" s="6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3"/>
      <c r="AL427" s="3"/>
      <c r="AM427" s="3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8"/>
      <c r="BU427" s="8"/>
      <c r="BV427" s="8"/>
      <c r="BW427" s="8"/>
      <c r="BX427" s="3"/>
      <c r="BY427" s="3"/>
      <c r="BZ427" s="3"/>
      <c r="CA427" s="8"/>
      <c r="CB427" s="8"/>
      <c r="CC427" s="8"/>
      <c r="CD427" s="8"/>
      <c r="CE427" s="8"/>
      <c r="CF427" s="8"/>
      <c r="CG427" s="9"/>
      <c r="CH427" s="8"/>
      <c r="CI427" s="8"/>
      <c r="CJ427" s="8"/>
      <c r="CK427" s="8"/>
      <c r="CL427" s="8"/>
      <c r="CM427" s="8"/>
      <c r="CN427" s="8"/>
      <c r="CO427" s="8"/>
      <c r="CP427" s="8"/>
      <c r="CQ427" s="9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9"/>
      <c r="DG427" s="9"/>
      <c r="DH427" s="10"/>
      <c r="DI427" s="9"/>
      <c r="DJ427" s="9"/>
      <c r="DK427" s="3"/>
      <c r="DL427" s="3"/>
      <c r="DM427" s="3"/>
    </row>
    <row r="428" ht="11.25" customHeight="1">
      <c r="A428" s="3"/>
      <c r="B428" s="2"/>
      <c r="C428" s="3"/>
      <c r="D428" s="3"/>
      <c r="E428" s="3"/>
      <c r="F428" s="4"/>
      <c r="G428" s="4"/>
      <c r="H428" s="4"/>
      <c r="I428" s="5"/>
      <c r="J428" s="4"/>
      <c r="K428" s="4"/>
      <c r="L428" s="6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3"/>
      <c r="AL428" s="3"/>
      <c r="AM428" s="3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8"/>
      <c r="BU428" s="8"/>
      <c r="BV428" s="8"/>
      <c r="BW428" s="8"/>
      <c r="BX428" s="3"/>
      <c r="BY428" s="3"/>
      <c r="BZ428" s="3"/>
      <c r="CA428" s="8"/>
      <c r="CB428" s="8"/>
      <c r="CC428" s="8"/>
      <c r="CD428" s="8"/>
      <c r="CE428" s="8"/>
      <c r="CF428" s="8"/>
      <c r="CG428" s="9"/>
      <c r="CH428" s="8"/>
      <c r="CI428" s="8"/>
      <c r="CJ428" s="8"/>
      <c r="CK428" s="8"/>
      <c r="CL428" s="8"/>
      <c r="CM428" s="8"/>
      <c r="CN428" s="8"/>
      <c r="CO428" s="8"/>
      <c r="CP428" s="8"/>
      <c r="CQ428" s="9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9"/>
      <c r="DG428" s="9"/>
      <c r="DH428" s="10"/>
      <c r="DI428" s="9"/>
      <c r="DJ428" s="9"/>
      <c r="DK428" s="3"/>
      <c r="DL428" s="3"/>
      <c r="DM428" s="3"/>
    </row>
    <row r="429" ht="11.25" customHeight="1">
      <c r="A429" s="3"/>
      <c r="B429" s="2"/>
      <c r="C429" s="3"/>
      <c r="D429" s="3"/>
      <c r="E429" s="3"/>
      <c r="F429" s="4"/>
      <c r="G429" s="4"/>
      <c r="H429" s="4"/>
      <c r="I429" s="5"/>
      <c r="J429" s="4"/>
      <c r="K429" s="4"/>
      <c r="L429" s="6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3"/>
      <c r="AL429" s="3"/>
      <c r="AM429" s="3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8"/>
      <c r="BU429" s="8"/>
      <c r="BV429" s="8"/>
      <c r="BW429" s="8"/>
      <c r="BX429" s="3"/>
      <c r="BY429" s="3"/>
      <c r="BZ429" s="3"/>
      <c r="CA429" s="8"/>
      <c r="CB429" s="8"/>
      <c r="CC429" s="8"/>
      <c r="CD429" s="8"/>
      <c r="CE429" s="8"/>
      <c r="CF429" s="8"/>
      <c r="CG429" s="9"/>
      <c r="CH429" s="8"/>
      <c r="CI429" s="8"/>
      <c r="CJ429" s="8"/>
      <c r="CK429" s="8"/>
      <c r="CL429" s="8"/>
      <c r="CM429" s="8"/>
      <c r="CN429" s="8"/>
      <c r="CO429" s="8"/>
      <c r="CP429" s="8"/>
      <c r="CQ429" s="9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9"/>
      <c r="DG429" s="9"/>
      <c r="DH429" s="10"/>
      <c r="DI429" s="9"/>
      <c r="DJ429" s="9"/>
      <c r="DK429" s="3"/>
      <c r="DL429" s="3"/>
      <c r="DM429" s="3"/>
    </row>
    <row r="430" ht="11.25" customHeight="1">
      <c r="A430" s="3"/>
      <c r="B430" s="2"/>
      <c r="C430" s="3"/>
      <c r="D430" s="3"/>
      <c r="E430" s="3"/>
      <c r="F430" s="4"/>
      <c r="G430" s="4"/>
      <c r="H430" s="4"/>
      <c r="I430" s="5"/>
      <c r="J430" s="4"/>
      <c r="K430" s="4"/>
      <c r="L430" s="6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3"/>
      <c r="AL430" s="3"/>
      <c r="AM430" s="3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8"/>
      <c r="BU430" s="8"/>
      <c r="BV430" s="8"/>
      <c r="BW430" s="8"/>
      <c r="BX430" s="3"/>
      <c r="BY430" s="3"/>
      <c r="BZ430" s="3"/>
      <c r="CA430" s="8"/>
      <c r="CB430" s="8"/>
      <c r="CC430" s="8"/>
      <c r="CD430" s="8"/>
      <c r="CE430" s="8"/>
      <c r="CF430" s="8"/>
      <c r="CG430" s="9"/>
      <c r="CH430" s="8"/>
      <c r="CI430" s="8"/>
      <c r="CJ430" s="8"/>
      <c r="CK430" s="8"/>
      <c r="CL430" s="8"/>
      <c r="CM430" s="8"/>
      <c r="CN430" s="8"/>
      <c r="CO430" s="8"/>
      <c r="CP430" s="8"/>
      <c r="CQ430" s="9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9"/>
      <c r="DG430" s="9"/>
      <c r="DH430" s="10"/>
      <c r="DI430" s="9"/>
      <c r="DJ430" s="9"/>
      <c r="DK430" s="3"/>
      <c r="DL430" s="3"/>
      <c r="DM430" s="3"/>
    </row>
    <row r="431" ht="11.25" customHeight="1">
      <c r="A431" s="3"/>
      <c r="B431" s="2"/>
      <c r="C431" s="3"/>
      <c r="D431" s="3"/>
      <c r="E431" s="3"/>
      <c r="F431" s="4"/>
      <c r="G431" s="4"/>
      <c r="H431" s="4"/>
      <c r="I431" s="5"/>
      <c r="J431" s="4"/>
      <c r="K431" s="4"/>
      <c r="L431" s="6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3"/>
      <c r="AL431" s="3"/>
      <c r="AM431" s="3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8"/>
      <c r="BU431" s="8"/>
      <c r="BV431" s="8"/>
      <c r="BW431" s="8"/>
      <c r="BX431" s="3"/>
      <c r="BY431" s="3"/>
      <c r="BZ431" s="3"/>
      <c r="CA431" s="8"/>
      <c r="CB431" s="8"/>
      <c r="CC431" s="8"/>
      <c r="CD431" s="8"/>
      <c r="CE431" s="8"/>
      <c r="CF431" s="8"/>
      <c r="CG431" s="9"/>
      <c r="CH431" s="8"/>
      <c r="CI431" s="8"/>
      <c r="CJ431" s="8"/>
      <c r="CK431" s="8"/>
      <c r="CL431" s="8"/>
      <c r="CM431" s="8"/>
      <c r="CN431" s="8"/>
      <c r="CO431" s="8"/>
      <c r="CP431" s="8"/>
      <c r="CQ431" s="9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9"/>
      <c r="DG431" s="9"/>
      <c r="DH431" s="10"/>
      <c r="DI431" s="9"/>
      <c r="DJ431" s="9"/>
      <c r="DK431" s="3"/>
      <c r="DL431" s="3"/>
      <c r="DM431" s="3"/>
    </row>
    <row r="432" ht="11.25" customHeight="1">
      <c r="A432" s="3"/>
      <c r="B432" s="2"/>
      <c r="C432" s="3"/>
      <c r="D432" s="3"/>
      <c r="E432" s="3"/>
      <c r="F432" s="4"/>
      <c r="G432" s="4"/>
      <c r="H432" s="4"/>
      <c r="I432" s="5"/>
      <c r="J432" s="4"/>
      <c r="K432" s="4"/>
      <c r="L432" s="6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3"/>
      <c r="AL432" s="3"/>
      <c r="AM432" s="3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8"/>
      <c r="BU432" s="8"/>
      <c r="BV432" s="8"/>
      <c r="BW432" s="8"/>
      <c r="BX432" s="3"/>
      <c r="BY432" s="3"/>
      <c r="BZ432" s="3"/>
      <c r="CA432" s="8"/>
      <c r="CB432" s="8"/>
      <c r="CC432" s="8"/>
      <c r="CD432" s="8"/>
      <c r="CE432" s="8"/>
      <c r="CF432" s="8"/>
      <c r="CG432" s="9"/>
      <c r="CH432" s="8"/>
      <c r="CI432" s="8"/>
      <c r="CJ432" s="8"/>
      <c r="CK432" s="8"/>
      <c r="CL432" s="8"/>
      <c r="CM432" s="8"/>
      <c r="CN432" s="8"/>
      <c r="CO432" s="8"/>
      <c r="CP432" s="8"/>
      <c r="CQ432" s="9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9"/>
      <c r="DG432" s="9"/>
      <c r="DH432" s="10"/>
      <c r="DI432" s="9"/>
      <c r="DJ432" s="9"/>
      <c r="DK432" s="3"/>
      <c r="DL432" s="3"/>
      <c r="DM432" s="3"/>
    </row>
    <row r="433" ht="11.25" customHeight="1">
      <c r="A433" s="3"/>
      <c r="B433" s="2"/>
      <c r="C433" s="3"/>
      <c r="D433" s="3"/>
      <c r="E433" s="3"/>
      <c r="F433" s="4"/>
      <c r="G433" s="4"/>
      <c r="H433" s="4"/>
      <c r="I433" s="5"/>
      <c r="J433" s="4"/>
      <c r="K433" s="4"/>
      <c r="L433" s="6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3"/>
      <c r="AL433" s="3"/>
      <c r="AM433" s="3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8"/>
      <c r="BU433" s="8"/>
      <c r="BV433" s="8"/>
      <c r="BW433" s="8"/>
      <c r="BX433" s="3"/>
      <c r="BY433" s="3"/>
      <c r="BZ433" s="3"/>
      <c r="CA433" s="8"/>
      <c r="CB433" s="8"/>
      <c r="CC433" s="8"/>
      <c r="CD433" s="8"/>
      <c r="CE433" s="8"/>
      <c r="CF433" s="8"/>
      <c r="CG433" s="9"/>
      <c r="CH433" s="8"/>
      <c r="CI433" s="8"/>
      <c r="CJ433" s="8"/>
      <c r="CK433" s="8"/>
      <c r="CL433" s="8"/>
      <c r="CM433" s="8"/>
      <c r="CN433" s="8"/>
      <c r="CO433" s="8"/>
      <c r="CP433" s="8"/>
      <c r="CQ433" s="9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9"/>
      <c r="DG433" s="9"/>
      <c r="DH433" s="10"/>
      <c r="DI433" s="9"/>
      <c r="DJ433" s="9"/>
      <c r="DK433" s="3"/>
      <c r="DL433" s="3"/>
      <c r="DM433" s="3"/>
    </row>
    <row r="434" ht="11.25" customHeight="1">
      <c r="A434" s="3"/>
      <c r="B434" s="2"/>
      <c r="C434" s="3"/>
      <c r="D434" s="3"/>
      <c r="E434" s="3"/>
      <c r="F434" s="4"/>
      <c r="G434" s="4"/>
      <c r="H434" s="4"/>
      <c r="I434" s="5"/>
      <c r="J434" s="4"/>
      <c r="K434" s="4"/>
      <c r="L434" s="6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3"/>
      <c r="AL434" s="3"/>
      <c r="AM434" s="3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8"/>
      <c r="BU434" s="8"/>
      <c r="BV434" s="8"/>
      <c r="BW434" s="8"/>
      <c r="BX434" s="3"/>
      <c r="BY434" s="3"/>
      <c r="BZ434" s="3"/>
      <c r="CA434" s="8"/>
      <c r="CB434" s="8"/>
      <c r="CC434" s="8"/>
      <c r="CD434" s="8"/>
      <c r="CE434" s="8"/>
      <c r="CF434" s="8"/>
      <c r="CG434" s="9"/>
      <c r="CH434" s="8"/>
      <c r="CI434" s="8"/>
      <c r="CJ434" s="8"/>
      <c r="CK434" s="8"/>
      <c r="CL434" s="8"/>
      <c r="CM434" s="8"/>
      <c r="CN434" s="8"/>
      <c r="CO434" s="8"/>
      <c r="CP434" s="8"/>
      <c r="CQ434" s="9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9"/>
      <c r="DG434" s="9"/>
      <c r="DH434" s="10"/>
      <c r="DI434" s="9"/>
      <c r="DJ434" s="9"/>
      <c r="DK434" s="3"/>
      <c r="DL434" s="3"/>
      <c r="DM434" s="3"/>
    </row>
    <row r="435" ht="11.25" customHeight="1">
      <c r="A435" s="3"/>
      <c r="B435" s="2"/>
      <c r="C435" s="3"/>
      <c r="D435" s="3"/>
      <c r="E435" s="3"/>
      <c r="F435" s="4"/>
      <c r="G435" s="4"/>
      <c r="H435" s="4"/>
      <c r="I435" s="5"/>
      <c r="J435" s="4"/>
      <c r="K435" s="4"/>
      <c r="L435" s="6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3"/>
      <c r="AL435" s="3"/>
      <c r="AM435" s="3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8"/>
      <c r="BU435" s="8"/>
      <c r="BV435" s="8"/>
      <c r="BW435" s="8"/>
      <c r="BX435" s="3"/>
      <c r="BY435" s="3"/>
      <c r="BZ435" s="3"/>
      <c r="CA435" s="8"/>
      <c r="CB435" s="8"/>
      <c r="CC435" s="8"/>
      <c r="CD435" s="8"/>
      <c r="CE435" s="8"/>
      <c r="CF435" s="8"/>
      <c r="CG435" s="9"/>
      <c r="CH435" s="8"/>
      <c r="CI435" s="8"/>
      <c r="CJ435" s="8"/>
      <c r="CK435" s="8"/>
      <c r="CL435" s="8"/>
      <c r="CM435" s="8"/>
      <c r="CN435" s="8"/>
      <c r="CO435" s="8"/>
      <c r="CP435" s="8"/>
      <c r="CQ435" s="9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9"/>
      <c r="DG435" s="9"/>
      <c r="DH435" s="10"/>
      <c r="DI435" s="9"/>
      <c r="DJ435" s="9"/>
      <c r="DK435" s="3"/>
      <c r="DL435" s="3"/>
      <c r="DM435" s="3"/>
    </row>
    <row r="436" ht="11.25" customHeight="1">
      <c r="A436" s="3"/>
      <c r="B436" s="2"/>
      <c r="C436" s="3"/>
      <c r="D436" s="3"/>
      <c r="E436" s="3"/>
      <c r="F436" s="4"/>
      <c r="G436" s="4"/>
      <c r="H436" s="4"/>
      <c r="I436" s="5"/>
      <c r="J436" s="4"/>
      <c r="K436" s="4"/>
      <c r="L436" s="6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3"/>
      <c r="AL436" s="3"/>
      <c r="AM436" s="3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8"/>
      <c r="BU436" s="8"/>
      <c r="BV436" s="8"/>
      <c r="BW436" s="8"/>
      <c r="BX436" s="3"/>
      <c r="BY436" s="3"/>
      <c r="BZ436" s="3"/>
      <c r="CA436" s="8"/>
      <c r="CB436" s="8"/>
      <c r="CC436" s="8"/>
      <c r="CD436" s="8"/>
      <c r="CE436" s="8"/>
      <c r="CF436" s="8"/>
      <c r="CG436" s="9"/>
      <c r="CH436" s="8"/>
      <c r="CI436" s="8"/>
      <c r="CJ436" s="8"/>
      <c r="CK436" s="8"/>
      <c r="CL436" s="8"/>
      <c r="CM436" s="8"/>
      <c r="CN436" s="8"/>
      <c r="CO436" s="8"/>
      <c r="CP436" s="8"/>
      <c r="CQ436" s="9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9"/>
      <c r="DG436" s="9"/>
      <c r="DH436" s="10"/>
      <c r="DI436" s="9"/>
      <c r="DJ436" s="9"/>
      <c r="DK436" s="3"/>
      <c r="DL436" s="3"/>
      <c r="DM436" s="3"/>
    </row>
    <row r="437" ht="11.25" customHeight="1">
      <c r="A437" s="3"/>
      <c r="B437" s="2"/>
      <c r="C437" s="3"/>
      <c r="D437" s="3"/>
      <c r="E437" s="3"/>
      <c r="F437" s="4"/>
      <c r="G437" s="4"/>
      <c r="H437" s="4"/>
      <c r="I437" s="5"/>
      <c r="J437" s="4"/>
      <c r="K437" s="4"/>
      <c r="L437" s="6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3"/>
      <c r="AL437" s="3"/>
      <c r="AM437" s="3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8"/>
      <c r="BU437" s="8"/>
      <c r="BV437" s="8"/>
      <c r="BW437" s="8"/>
      <c r="BX437" s="3"/>
      <c r="BY437" s="3"/>
      <c r="BZ437" s="3"/>
      <c r="CA437" s="8"/>
      <c r="CB437" s="8"/>
      <c r="CC437" s="8"/>
      <c r="CD437" s="8"/>
      <c r="CE437" s="8"/>
      <c r="CF437" s="8"/>
      <c r="CG437" s="9"/>
      <c r="CH437" s="8"/>
      <c r="CI437" s="8"/>
      <c r="CJ437" s="8"/>
      <c r="CK437" s="8"/>
      <c r="CL437" s="8"/>
      <c r="CM437" s="8"/>
      <c r="CN437" s="8"/>
      <c r="CO437" s="8"/>
      <c r="CP437" s="8"/>
      <c r="CQ437" s="9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9"/>
      <c r="DG437" s="9"/>
      <c r="DH437" s="10"/>
      <c r="DI437" s="9"/>
      <c r="DJ437" s="9"/>
      <c r="DK437" s="3"/>
      <c r="DL437" s="3"/>
      <c r="DM437" s="3"/>
    </row>
    <row r="438" ht="11.25" customHeight="1">
      <c r="A438" s="3"/>
      <c r="B438" s="2"/>
      <c r="C438" s="3"/>
      <c r="D438" s="3"/>
      <c r="E438" s="3"/>
      <c r="F438" s="4"/>
      <c r="G438" s="4"/>
      <c r="H438" s="4"/>
      <c r="I438" s="5"/>
      <c r="J438" s="4"/>
      <c r="K438" s="4"/>
      <c r="L438" s="6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3"/>
      <c r="AL438" s="3"/>
      <c r="AM438" s="3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8"/>
      <c r="BU438" s="8"/>
      <c r="BV438" s="8"/>
      <c r="BW438" s="8"/>
      <c r="BX438" s="3"/>
      <c r="BY438" s="3"/>
      <c r="BZ438" s="3"/>
      <c r="CA438" s="8"/>
      <c r="CB438" s="8"/>
      <c r="CC438" s="8"/>
      <c r="CD438" s="8"/>
      <c r="CE438" s="8"/>
      <c r="CF438" s="8"/>
      <c r="CG438" s="9"/>
      <c r="CH438" s="8"/>
      <c r="CI438" s="8"/>
      <c r="CJ438" s="8"/>
      <c r="CK438" s="8"/>
      <c r="CL438" s="8"/>
      <c r="CM438" s="8"/>
      <c r="CN438" s="8"/>
      <c r="CO438" s="8"/>
      <c r="CP438" s="8"/>
      <c r="CQ438" s="9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9"/>
      <c r="DG438" s="9"/>
      <c r="DH438" s="10"/>
      <c r="DI438" s="9"/>
      <c r="DJ438" s="9"/>
      <c r="DK438" s="3"/>
      <c r="DL438" s="3"/>
      <c r="DM438" s="3"/>
    </row>
    <row r="439" ht="11.25" customHeight="1">
      <c r="A439" s="3"/>
      <c r="B439" s="2"/>
      <c r="C439" s="3"/>
      <c r="D439" s="3"/>
      <c r="E439" s="3"/>
      <c r="F439" s="4"/>
      <c r="G439" s="4"/>
      <c r="H439" s="4"/>
      <c r="I439" s="5"/>
      <c r="J439" s="4"/>
      <c r="K439" s="4"/>
      <c r="L439" s="6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3"/>
      <c r="AL439" s="3"/>
      <c r="AM439" s="3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8"/>
      <c r="BU439" s="8"/>
      <c r="BV439" s="8"/>
      <c r="BW439" s="8"/>
      <c r="BX439" s="3"/>
      <c r="BY439" s="3"/>
      <c r="BZ439" s="3"/>
      <c r="CA439" s="8"/>
      <c r="CB439" s="8"/>
      <c r="CC439" s="8"/>
      <c r="CD439" s="8"/>
      <c r="CE439" s="8"/>
      <c r="CF439" s="8"/>
      <c r="CG439" s="9"/>
      <c r="CH439" s="8"/>
      <c r="CI439" s="8"/>
      <c r="CJ439" s="8"/>
      <c r="CK439" s="8"/>
      <c r="CL439" s="8"/>
      <c r="CM439" s="8"/>
      <c r="CN439" s="8"/>
      <c r="CO439" s="8"/>
      <c r="CP439" s="8"/>
      <c r="CQ439" s="9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9"/>
      <c r="DG439" s="9"/>
      <c r="DH439" s="10"/>
      <c r="DI439" s="9"/>
      <c r="DJ439" s="9"/>
      <c r="DK439" s="3"/>
      <c r="DL439" s="3"/>
      <c r="DM439" s="3"/>
    </row>
    <row r="440" ht="11.25" customHeight="1">
      <c r="A440" s="3"/>
      <c r="B440" s="2"/>
      <c r="C440" s="3"/>
      <c r="D440" s="3"/>
      <c r="E440" s="3"/>
      <c r="F440" s="4"/>
      <c r="G440" s="4"/>
      <c r="H440" s="4"/>
      <c r="I440" s="5"/>
      <c r="J440" s="4"/>
      <c r="K440" s="4"/>
      <c r="L440" s="6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3"/>
      <c r="AL440" s="3"/>
      <c r="AM440" s="3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8"/>
      <c r="BU440" s="8"/>
      <c r="BV440" s="8"/>
      <c r="BW440" s="8"/>
      <c r="BX440" s="3"/>
      <c r="BY440" s="3"/>
      <c r="BZ440" s="3"/>
      <c r="CA440" s="8"/>
      <c r="CB440" s="8"/>
      <c r="CC440" s="8"/>
      <c r="CD440" s="8"/>
      <c r="CE440" s="8"/>
      <c r="CF440" s="8"/>
      <c r="CG440" s="9"/>
      <c r="CH440" s="8"/>
      <c r="CI440" s="8"/>
      <c r="CJ440" s="8"/>
      <c r="CK440" s="8"/>
      <c r="CL440" s="8"/>
      <c r="CM440" s="8"/>
      <c r="CN440" s="8"/>
      <c r="CO440" s="8"/>
      <c r="CP440" s="8"/>
      <c r="CQ440" s="9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9"/>
      <c r="DG440" s="9"/>
      <c r="DH440" s="10"/>
      <c r="DI440" s="9"/>
      <c r="DJ440" s="9"/>
      <c r="DK440" s="3"/>
      <c r="DL440" s="3"/>
      <c r="DM440" s="3"/>
    </row>
    <row r="441" ht="11.25" customHeight="1">
      <c r="A441" s="3"/>
      <c r="B441" s="2"/>
      <c r="C441" s="3"/>
      <c r="D441" s="3"/>
      <c r="E441" s="3"/>
      <c r="F441" s="4"/>
      <c r="G441" s="4"/>
      <c r="H441" s="4"/>
      <c r="I441" s="5"/>
      <c r="J441" s="4"/>
      <c r="K441" s="4"/>
      <c r="L441" s="6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3"/>
      <c r="AL441" s="3"/>
      <c r="AM441" s="3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8"/>
      <c r="BU441" s="8"/>
      <c r="BV441" s="8"/>
      <c r="BW441" s="8"/>
      <c r="BX441" s="3"/>
      <c r="BY441" s="3"/>
      <c r="BZ441" s="3"/>
      <c r="CA441" s="8"/>
      <c r="CB441" s="8"/>
      <c r="CC441" s="8"/>
      <c r="CD441" s="8"/>
      <c r="CE441" s="8"/>
      <c r="CF441" s="8"/>
      <c r="CG441" s="9"/>
      <c r="CH441" s="8"/>
      <c r="CI441" s="8"/>
      <c r="CJ441" s="8"/>
      <c r="CK441" s="8"/>
      <c r="CL441" s="8"/>
      <c r="CM441" s="8"/>
      <c r="CN441" s="8"/>
      <c r="CO441" s="8"/>
      <c r="CP441" s="8"/>
      <c r="CQ441" s="9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9"/>
      <c r="DG441" s="9"/>
      <c r="DH441" s="10"/>
      <c r="DI441" s="9"/>
      <c r="DJ441" s="9"/>
      <c r="DK441" s="3"/>
      <c r="DL441" s="3"/>
      <c r="DM441" s="3"/>
    </row>
    <row r="442" ht="11.25" customHeight="1">
      <c r="A442" s="3"/>
      <c r="B442" s="2"/>
      <c r="C442" s="3"/>
      <c r="D442" s="3"/>
      <c r="E442" s="3"/>
      <c r="F442" s="4"/>
      <c r="G442" s="4"/>
      <c r="H442" s="4"/>
      <c r="I442" s="5"/>
      <c r="J442" s="4"/>
      <c r="K442" s="4"/>
      <c r="L442" s="6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3"/>
      <c r="AL442" s="3"/>
      <c r="AM442" s="3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8"/>
      <c r="BU442" s="8"/>
      <c r="BV442" s="8"/>
      <c r="BW442" s="8"/>
      <c r="BX442" s="3"/>
      <c r="BY442" s="3"/>
      <c r="BZ442" s="3"/>
      <c r="CA442" s="8"/>
      <c r="CB442" s="8"/>
      <c r="CC442" s="8"/>
      <c r="CD442" s="8"/>
      <c r="CE442" s="8"/>
      <c r="CF442" s="8"/>
      <c r="CG442" s="9"/>
      <c r="CH442" s="8"/>
      <c r="CI442" s="8"/>
      <c r="CJ442" s="8"/>
      <c r="CK442" s="8"/>
      <c r="CL442" s="8"/>
      <c r="CM442" s="8"/>
      <c r="CN442" s="8"/>
      <c r="CO442" s="8"/>
      <c r="CP442" s="8"/>
      <c r="CQ442" s="9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9"/>
      <c r="DG442" s="9"/>
      <c r="DH442" s="10"/>
      <c r="DI442" s="9"/>
      <c r="DJ442" s="9"/>
      <c r="DK442" s="3"/>
      <c r="DL442" s="3"/>
      <c r="DM442" s="3"/>
    </row>
    <row r="443" ht="11.25" customHeight="1">
      <c r="A443" s="3"/>
      <c r="B443" s="2"/>
      <c r="C443" s="3"/>
      <c r="D443" s="3"/>
      <c r="E443" s="3"/>
      <c r="F443" s="4"/>
      <c r="G443" s="4"/>
      <c r="H443" s="4"/>
      <c r="I443" s="5"/>
      <c r="J443" s="4"/>
      <c r="K443" s="4"/>
      <c r="L443" s="6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3"/>
      <c r="AL443" s="3"/>
      <c r="AM443" s="3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8"/>
      <c r="BU443" s="8"/>
      <c r="BV443" s="8"/>
      <c r="BW443" s="8"/>
      <c r="BX443" s="3"/>
      <c r="BY443" s="3"/>
      <c r="BZ443" s="3"/>
      <c r="CA443" s="8"/>
      <c r="CB443" s="8"/>
      <c r="CC443" s="8"/>
      <c r="CD443" s="8"/>
      <c r="CE443" s="8"/>
      <c r="CF443" s="8"/>
      <c r="CG443" s="9"/>
      <c r="CH443" s="8"/>
      <c r="CI443" s="8"/>
      <c r="CJ443" s="8"/>
      <c r="CK443" s="8"/>
      <c r="CL443" s="8"/>
      <c r="CM443" s="8"/>
      <c r="CN443" s="8"/>
      <c r="CO443" s="8"/>
      <c r="CP443" s="8"/>
      <c r="CQ443" s="9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9"/>
      <c r="DG443" s="9"/>
      <c r="DH443" s="10"/>
      <c r="DI443" s="9"/>
      <c r="DJ443" s="9"/>
      <c r="DK443" s="3"/>
      <c r="DL443" s="3"/>
      <c r="DM443" s="3"/>
    </row>
    <row r="444" ht="11.25" customHeight="1">
      <c r="A444" s="3"/>
      <c r="B444" s="2"/>
      <c r="C444" s="3"/>
      <c r="D444" s="3"/>
      <c r="E444" s="3"/>
      <c r="F444" s="4"/>
      <c r="G444" s="4"/>
      <c r="H444" s="4"/>
      <c r="I444" s="5"/>
      <c r="J444" s="4"/>
      <c r="K444" s="4"/>
      <c r="L444" s="6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3"/>
      <c r="AL444" s="3"/>
      <c r="AM444" s="3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8"/>
      <c r="BU444" s="8"/>
      <c r="BV444" s="8"/>
      <c r="BW444" s="8"/>
      <c r="BX444" s="3"/>
      <c r="BY444" s="3"/>
      <c r="BZ444" s="3"/>
      <c r="CA444" s="8"/>
      <c r="CB444" s="8"/>
      <c r="CC444" s="8"/>
      <c r="CD444" s="8"/>
      <c r="CE444" s="8"/>
      <c r="CF444" s="8"/>
      <c r="CG444" s="9"/>
      <c r="CH444" s="8"/>
      <c r="CI444" s="8"/>
      <c r="CJ444" s="8"/>
      <c r="CK444" s="8"/>
      <c r="CL444" s="8"/>
      <c r="CM444" s="8"/>
      <c r="CN444" s="8"/>
      <c r="CO444" s="8"/>
      <c r="CP444" s="8"/>
      <c r="CQ444" s="9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9"/>
      <c r="DG444" s="9"/>
      <c r="DH444" s="10"/>
      <c r="DI444" s="9"/>
      <c r="DJ444" s="9"/>
      <c r="DK444" s="3"/>
      <c r="DL444" s="3"/>
      <c r="DM444" s="3"/>
    </row>
    <row r="445" ht="11.25" customHeight="1">
      <c r="A445" s="3"/>
      <c r="B445" s="2"/>
      <c r="C445" s="3"/>
      <c r="D445" s="3"/>
      <c r="E445" s="3"/>
      <c r="F445" s="4"/>
      <c r="G445" s="4"/>
      <c r="H445" s="4"/>
      <c r="I445" s="5"/>
      <c r="J445" s="4"/>
      <c r="K445" s="4"/>
      <c r="L445" s="6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3"/>
      <c r="AL445" s="3"/>
      <c r="AM445" s="3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8"/>
      <c r="BU445" s="8"/>
      <c r="BV445" s="8"/>
      <c r="BW445" s="8"/>
      <c r="BX445" s="3"/>
      <c r="BY445" s="3"/>
      <c r="BZ445" s="3"/>
      <c r="CA445" s="8"/>
      <c r="CB445" s="8"/>
      <c r="CC445" s="8"/>
      <c r="CD445" s="8"/>
      <c r="CE445" s="8"/>
      <c r="CF445" s="8"/>
      <c r="CG445" s="9"/>
      <c r="CH445" s="8"/>
      <c r="CI445" s="8"/>
      <c r="CJ445" s="8"/>
      <c r="CK445" s="8"/>
      <c r="CL445" s="8"/>
      <c r="CM445" s="8"/>
      <c r="CN445" s="8"/>
      <c r="CO445" s="8"/>
      <c r="CP445" s="8"/>
      <c r="CQ445" s="9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9"/>
      <c r="DG445" s="9"/>
      <c r="DH445" s="10"/>
      <c r="DI445" s="9"/>
      <c r="DJ445" s="9"/>
      <c r="DK445" s="3"/>
      <c r="DL445" s="3"/>
      <c r="DM445" s="3"/>
    </row>
    <row r="446" ht="11.25" customHeight="1">
      <c r="A446" s="3"/>
      <c r="B446" s="2"/>
      <c r="C446" s="3"/>
      <c r="D446" s="3"/>
      <c r="E446" s="3"/>
      <c r="F446" s="4"/>
      <c r="G446" s="4"/>
      <c r="H446" s="4"/>
      <c r="I446" s="5"/>
      <c r="J446" s="4"/>
      <c r="K446" s="4"/>
      <c r="L446" s="6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3"/>
      <c r="AL446" s="3"/>
      <c r="AM446" s="3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8"/>
      <c r="BU446" s="8"/>
      <c r="BV446" s="8"/>
      <c r="BW446" s="8"/>
      <c r="BX446" s="3"/>
      <c r="BY446" s="3"/>
      <c r="BZ446" s="3"/>
      <c r="CA446" s="8"/>
      <c r="CB446" s="8"/>
      <c r="CC446" s="8"/>
      <c r="CD446" s="8"/>
      <c r="CE446" s="8"/>
      <c r="CF446" s="8"/>
      <c r="CG446" s="9"/>
      <c r="CH446" s="8"/>
      <c r="CI446" s="8"/>
      <c r="CJ446" s="8"/>
      <c r="CK446" s="8"/>
      <c r="CL446" s="8"/>
      <c r="CM446" s="8"/>
      <c r="CN446" s="8"/>
      <c r="CO446" s="8"/>
      <c r="CP446" s="8"/>
      <c r="CQ446" s="9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9"/>
      <c r="DG446" s="9"/>
      <c r="DH446" s="10"/>
      <c r="DI446" s="9"/>
      <c r="DJ446" s="9"/>
      <c r="DK446" s="3"/>
      <c r="DL446" s="3"/>
      <c r="DM446" s="3"/>
    </row>
    <row r="447" ht="11.25" customHeight="1">
      <c r="A447" s="3"/>
      <c r="B447" s="2"/>
      <c r="C447" s="3"/>
      <c r="D447" s="3"/>
      <c r="E447" s="3"/>
      <c r="F447" s="4"/>
      <c r="G447" s="4"/>
      <c r="H447" s="4"/>
      <c r="I447" s="5"/>
      <c r="J447" s="4"/>
      <c r="K447" s="4"/>
      <c r="L447" s="6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3"/>
      <c r="AL447" s="3"/>
      <c r="AM447" s="3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8"/>
      <c r="BU447" s="8"/>
      <c r="BV447" s="8"/>
      <c r="BW447" s="8"/>
      <c r="BX447" s="3"/>
      <c r="BY447" s="3"/>
      <c r="BZ447" s="3"/>
      <c r="CA447" s="8"/>
      <c r="CB447" s="8"/>
      <c r="CC447" s="8"/>
      <c r="CD447" s="8"/>
      <c r="CE447" s="8"/>
      <c r="CF447" s="8"/>
      <c r="CG447" s="9"/>
      <c r="CH447" s="8"/>
      <c r="CI447" s="8"/>
      <c r="CJ447" s="8"/>
      <c r="CK447" s="8"/>
      <c r="CL447" s="8"/>
      <c r="CM447" s="8"/>
      <c r="CN447" s="8"/>
      <c r="CO447" s="8"/>
      <c r="CP447" s="8"/>
      <c r="CQ447" s="9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9"/>
      <c r="DG447" s="9"/>
      <c r="DH447" s="10"/>
      <c r="DI447" s="9"/>
      <c r="DJ447" s="9"/>
      <c r="DK447" s="3"/>
      <c r="DL447" s="3"/>
      <c r="DM447" s="3"/>
    </row>
    <row r="448" ht="11.25" customHeight="1">
      <c r="A448" s="3"/>
      <c r="B448" s="2"/>
      <c r="C448" s="3"/>
      <c r="D448" s="3"/>
      <c r="E448" s="3"/>
      <c r="F448" s="4"/>
      <c r="G448" s="4"/>
      <c r="H448" s="4"/>
      <c r="I448" s="5"/>
      <c r="J448" s="4"/>
      <c r="K448" s="4"/>
      <c r="L448" s="6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3"/>
      <c r="AL448" s="3"/>
      <c r="AM448" s="3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8"/>
      <c r="BU448" s="8"/>
      <c r="BV448" s="8"/>
      <c r="BW448" s="8"/>
      <c r="BX448" s="3"/>
      <c r="BY448" s="3"/>
      <c r="BZ448" s="3"/>
      <c r="CA448" s="8"/>
      <c r="CB448" s="8"/>
      <c r="CC448" s="8"/>
      <c r="CD448" s="8"/>
      <c r="CE448" s="8"/>
      <c r="CF448" s="8"/>
      <c r="CG448" s="9"/>
      <c r="CH448" s="8"/>
      <c r="CI448" s="8"/>
      <c r="CJ448" s="8"/>
      <c r="CK448" s="8"/>
      <c r="CL448" s="8"/>
      <c r="CM448" s="8"/>
      <c r="CN448" s="8"/>
      <c r="CO448" s="8"/>
      <c r="CP448" s="8"/>
      <c r="CQ448" s="9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9"/>
      <c r="DG448" s="9"/>
      <c r="DH448" s="10"/>
      <c r="DI448" s="9"/>
      <c r="DJ448" s="9"/>
      <c r="DK448" s="3"/>
      <c r="DL448" s="3"/>
      <c r="DM448" s="3"/>
    </row>
    <row r="449" ht="11.25" customHeight="1">
      <c r="A449" s="3"/>
      <c r="B449" s="2"/>
      <c r="C449" s="3"/>
      <c r="D449" s="3"/>
      <c r="E449" s="3"/>
      <c r="F449" s="4"/>
      <c r="G449" s="4"/>
      <c r="H449" s="4"/>
      <c r="I449" s="5"/>
      <c r="J449" s="4"/>
      <c r="K449" s="4"/>
      <c r="L449" s="6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3"/>
      <c r="AL449" s="3"/>
      <c r="AM449" s="3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8"/>
      <c r="BU449" s="8"/>
      <c r="BV449" s="8"/>
      <c r="BW449" s="8"/>
      <c r="BX449" s="3"/>
      <c r="BY449" s="3"/>
      <c r="BZ449" s="3"/>
      <c r="CA449" s="8"/>
      <c r="CB449" s="8"/>
      <c r="CC449" s="8"/>
      <c r="CD449" s="8"/>
      <c r="CE449" s="8"/>
      <c r="CF449" s="8"/>
      <c r="CG449" s="9"/>
      <c r="CH449" s="8"/>
      <c r="CI449" s="8"/>
      <c r="CJ449" s="8"/>
      <c r="CK449" s="8"/>
      <c r="CL449" s="8"/>
      <c r="CM449" s="8"/>
      <c r="CN449" s="8"/>
      <c r="CO449" s="8"/>
      <c r="CP449" s="8"/>
      <c r="CQ449" s="9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9"/>
      <c r="DG449" s="9"/>
      <c r="DH449" s="10"/>
      <c r="DI449" s="9"/>
      <c r="DJ449" s="9"/>
      <c r="DK449" s="3"/>
      <c r="DL449" s="3"/>
      <c r="DM449" s="3"/>
    </row>
    <row r="450" ht="11.25" customHeight="1">
      <c r="A450" s="3"/>
      <c r="B450" s="2"/>
      <c r="C450" s="3"/>
      <c r="D450" s="3"/>
      <c r="E450" s="3"/>
      <c r="F450" s="4"/>
      <c r="G450" s="4"/>
      <c r="H450" s="4"/>
      <c r="I450" s="5"/>
      <c r="J450" s="4"/>
      <c r="K450" s="4"/>
      <c r="L450" s="6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3"/>
      <c r="AL450" s="3"/>
      <c r="AM450" s="3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8"/>
      <c r="BU450" s="8"/>
      <c r="BV450" s="8"/>
      <c r="BW450" s="8"/>
      <c r="BX450" s="3"/>
      <c r="BY450" s="3"/>
      <c r="BZ450" s="3"/>
      <c r="CA450" s="8"/>
      <c r="CB450" s="8"/>
      <c r="CC450" s="8"/>
      <c r="CD450" s="8"/>
      <c r="CE450" s="8"/>
      <c r="CF450" s="8"/>
      <c r="CG450" s="9"/>
      <c r="CH450" s="8"/>
      <c r="CI450" s="8"/>
      <c r="CJ450" s="8"/>
      <c r="CK450" s="8"/>
      <c r="CL450" s="8"/>
      <c r="CM450" s="8"/>
      <c r="CN450" s="8"/>
      <c r="CO450" s="8"/>
      <c r="CP450" s="8"/>
      <c r="CQ450" s="9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9"/>
      <c r="DG450" s="9"/>
      <c r="DH450" s="10"/>
      <c r="DI450" s="9"/>
      <c r="DJ450" s="9"/>
      <c r="DK450" s="3"/>
      <c r="DL450" s="3"/>
      <c r="DM450" s="3"/>
    </row>
    <row r="451" ht="11.25" customHeight="1">
      <c r="A451" s="3"/>
      <c r="B451" s="2"/>
      <c r="C451" s="3"/>
      <c r="D451" s="3"/>
      <c r="E451" s="3"/>
      <c r="F451" s="4"/>
      <c r="G451" s="4"/>
      <c r="H451" s="4"/>
      <c r="I451" s="5"/>
      <c r="J451" s="4"/>
      <c r="K451" s="4"/>
      <c r="L451" s="6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3"/>
      <c r="AL451" s="3"/>
      <c r="AM451" s="3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8"/>
      <c r="BU451" s="8"/>
      <c r="BV451" s="8"/>
      <c r="BW451" s="8"/>
      <c r="BX451" s="3"/>
      <c r="BY451" s="3"/>
      <c r="BZ451" s="3"/>
      <c r="CA451" s="8"/>
      <c r="CB451" s="8"/>
      <c r="CC451" s="8"/>
      <c r="CD451" s="8"/>
      <c r="CE451" s="8"/>
      <c r="CF451" s="8"/>
      <c r="CG451" s="9"/>
      <c r="CH451" s="8"/>
      <c r="CI451" s="8"/>
      <c r="CJ451" s="8"/>
      <c r="CK451" s="8"/>
      <c r="CL451" s="8"/>
      <c r="CM451" s="8"/>
      <c r="CN451" s="8"/>
      <c r="CO451" s="8"/>
      <c r="CP451" s="8"/>
      <c r="CQ451" s="9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9"/>
      <c r="DG451" s="9"/>
      <c r="DH451" s="10"/>
      <c r="DI451" s="9"/>
      <c r="DJ451" s="9"/>
      <c r="DK451" s="3"/>
      <c r="DL451" s="3"/>
      <c r="DM451" s="3"/>
    </row>
    <row r="452" ht="11.25" customHeight="1">
      <c r="A452" s="3"/>
      <c r="B452" s="2"/>
      <c r="C452" s="3"/>
      <c r="D452" s="3"/>
      <c r="E452" s="3"/>
      <c r="F452" s="4"/>
      <c r="G452" s="4"/>
      <c r="H452" s="4"/>
      <c r="I452" s="5"/>
      <c r="J452" s="4"/>
      <c r="K452" s="4"/>
      <c r="L452" s="6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3"/>
      <c r="AL452" s="3"/>
      <c r="AM452" s="3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8"/>
      <c r="BU452" s="8"/>
      <c r="BV452" s="8"/>
      <c r="BW452" s="8"/>
      <c r="BX452" s="3"/>
      <c r="BY452" s="3"/>
      <c r="BZ452" s="3"/>
      <c r="CA452" s="8"/>
      <c r="CB452" s="8"/>
      <c r="CC452" s="8"/>
      <c r="CD452" s="8"/>
      <c r="CE452" s="8"/>
      <c r="CF452" s="8"/>
      <c r="CG452" s="9"/>
      <c r="CH452" s="8"/>
      <c r="CI452" s="8"/>
      <c r="CJ452" s="8"/>
      <c r="CK452" s="8"/>
      <c r="CL452" s="8"/>
      <c r="CM452" s="8"/>
      <c r="CN452" s="8"/>
      <c r="CO452" s="8"/>
      <c r="CP452" s="8"/>
      <c r="CQ452" s="9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9"/>
      <c r="DG452" s="9"/>
      <c r="DH452" s="10"/>
      <c r="DI452" s="9"/>
      <c r="DJ452" s="9"/>
      <c r="DK452" s="3"/>
      <c r="DL452" s="3"/>
      <c r="DM452" s="3"/>
    </row>
    <row r="453" ht="11.25" customHeight="1">
      <c r="A453" s="3"/>
      <c r="B453" s="2"/>
      <c r="C453" s="3"/>
      <c r="D453" s="3"/>
      <c r="E453" s="3"/>
      <c r="F453" s="4"/>
      <c r="G453" s="4"/>
      <c r="H453" s="4"/>
      <c r="I453" s="5"/>
      <c r="J453" s="4"/>
      <c r="K453" s="4"/>
      <c r="L453" s="6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3"/>
      <c r="AL453" s="3"/>
      <c r="AM453" s="3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8"/>
      <c r="BU453" s="8"/>
      <c r="BV453" s="8"/>
      <c r="BW453" s="8"/>
      <c r="BX453" s="3"/>
      <c r="BY453" s="3"/>
      <c r="BZ453" s="3"/>
      <c r="CA453" s="8"/>
      <c r="CB453" s="8"/>
      <c r="CC453" s="8"/>
      <c r="CD453" s="8"/>
      <c r="CE453" s="8"/>
      <c r="CF453" s="8"/>
      <c r="CG453" s="9"/>
      <c r="CH453" s="8"/>
      <c r="CI453" s="8"/>
      <c r="CJ453" s="8"/>
      <c r="CK453" s="8"/>
      <c r="CL453" s="8"/>
      <c r="CM453" s="8"/>
      <c r="CN453" s="8"/>
      <c r="CO453" s="8"/>
      <c r="CP453" s="8"/>
      <c r="CQ453" s="9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9"/>
      <c r="DG453" s="9"/>
      <c r="DH453" s="10"/>
      <c r="DI453" s="9"/>
      <c r="DJ453" s="9"/>
      <c r="DK453" s="3"/>
      <c r="DL453" s="3"/>
      <c r="DM453" s="3"/>
    </row>
    <row r="454" ht="11.25" customHeight="1">
      <c r="A454" s="3"/>
      <c r="B454" s="2"/>
      <c r="C454" s="3"/>
      <c r="D454" s="3"/>
      <c r="E454" s="3"/>
      <c r="F454" s="4"/>
      <c r="G454" s="4"/>
      <c r="H454" s="4"/>
      <c r="I454" s="5"/>
      <c r="J454" s="4"/>
      <c r="K454" s="4"/>
      <c r="L454" s="6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3"/>
      <c r="AL454" s="3"/>
      <c r="AM454" s="3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8"/>
      <c r="BU454" s="8"/>
      <c r="BV454" s="8"/>
      <c r="BW454" s="8"/>
      <c r="BX454" s="3"/>
      <c r="BY454" s="3"/>
      <c r="BZ454" s="3"/>
      <c r="CA454" s="8"/>
      <c r="CB454" s="8"/>
      <c r="CC454" s="8"/>
      <c r="CD454" s="8"/>
      <c r="CE454" s="8"/>
      <c r="CF454" s="8"/>
      <c r="CG454" s="9"/>
      <c r="CH454" s="8"/>
      <c r="CI454" s="8"/>
      <c r="CJ454" s="8"/>
      <c r="CK454" s="8"/>
      <c r="CL454" s="8"/>
      <c r="CM454" s="8"/>
      <c r="CN454" s="8"/>
      <c r="CO454" s="8"/>
      <c r="CP454" s="8"/>
      <c r="CQ454" s="9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9"/>
      <c r="DG454" s="9"/>
      <c r="DH454" s="10"/>
      <c r="DI454" s="9"/>
      <c r="DJ454" s="9"/>
      <c r="DK454" s="3"/>
      <c r="DL454" s="3"/>
      <c r="DM454" s="3"/>
    </row>
    <row r="455" ht="11.25" customHeight="1">
      <c r="A455" s="3"/>
      <c r="B455" s="2"/>
      <c r="C455" s="3"/>
      <c r="D455" s="3"/>
      <c r="E455" s="3"/>
      <c r="F455" s="4"/>
      <c r="G455" s="4"/>
      <c r="H455" s="4"/>
      <c r="I455" s="5"/>
      <c r="J455" s="4"/>
      <c r="K455" s="4"/>
      <c r="L455" s="6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3"/>
      <c r="AL455" s="3"/>
      <c r="AM455" s="3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8"/>
      <c r="BU455" s="8"/>
      <c r="BV455" s="8"/>
      <c r="BW455" s="8"/>
      <c r="BX455" s="3"/>
      <c r="BY455" s="3"/>
      <c r="BZ455" s="3"/>
      <c r="CA455" s="8"/>
      <c r="CB455" s="8"/>
      <c r="CC455" s="8"/>
      <c r="CD455" s="8"/>
      <c r="CE455" s="8"/>
      <c r="CF455" s="8"/>
      <c r="CG455" s="9"/>
      <c r="CH455" s="8"/>
      <c r="CI455" s="8"/>
      <c r="CJ455" s="8"/>
      <c r="CK455" s="8"/>
      <c r="CL455" s="8"/>
      <c r="CM455" s="8"/>
      <c r="CN455" s="8"/>
      <c r="CO455" s="8"/>
      <c r="CP455" s="8"/>
      <c r="CQ455" s="9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9"/>
      <c r="DG455" s="9"/>
      <c r="DH455" s="10"/>
      <c r="DI455" s="9"/>
      <c r="DJ455" s="9"/>
      <c r="DK455" s="3"/>
      <c r="DL455" s="3"/>
      <c r="DM455" s="3"/>
    </row>
    <row r="456" ht="11.25" customHeight="1">
      <c r="A456" s="3"/>
      <c r="B456" s="2"/>
      <c r="C456" s="3"/>
      <c r="D456" s="3"/>
      <c r="E456" s="3"/>
      <c r="F456" s="4"/>
      <c r="G456" s="4"/>
      <c r="H456" s="4"/>
      <c r="I456" s="5"/>
      <c r="J456" s="4"/>
      <c r="K456" s="4"/>
      <c r="L456" s="6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3"/>
      <c r="AL456" s="3"/>
      <c r="AM456" s="3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8"/>
      <c r="BU456" s="8"/>
      <c r="BV456" s="8"/>
      <c r="BW456" s="8"/>
      <c r="BX456" s="3"/>
      <c r="BY456" s="3"/>
      <c r="BZ456" s="3"/>
      <c r="CA456" s="8"/>
      <c r="CB456" s="8"/>
      <c r="CC456" s="8"/>
      <c r="CD456" s="8"/>
      <c r="CE456" s="8"/>
      <c r="CF456" s="8"/>
      <c r="CG456" s="9"/>
      <c r="CH456" s="8"/>
      <c r="CI456" s="8"/>
      <c r="CJ456" s="8"/>
      <c r="CK456" s="8"/>
      <c r="CL456" s="8"/>
      <c r="CM456" s="8"/>
      <c r="CN456" s="8"/>
      <c r="CO456" s="8"/>
      <c r="CP456" s="8"/>
      <c r="CQ456" s="9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9"/>
      <c r="DG456" s="9"/>
      <c r="DH456" s="10"/>
      <c r="DI456" s="9"/>
      <c r="DJ456" s="9"/>
      <c r="DK456" s="3"/>
      <c r="DL456" s="3"/>
      <c r="DM456" s="3"/>
    </row>
    <row r="457" ht="11.25" customHeight="1">
      <c r="A457" s="3"/>
      <c r="B457" s="2"/>
      <c r="C457" s="3"/>
      <c r="D457" s="3"/>
      <c r="E457" s="3"/>
      <c r="F457" s="4"/>
      <c r="G457" s="4"/>
      <c r="H457" s="4"/>
      <c r="I457" s="5"/>
      <c r="J457" s="4"/>
      <c r="K457" s="4"/>
      <c r="L457" s="6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3"/>
      <c r="AL457" s="3"/>
      <c r="AM457" s="3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8"/>
      <c r="BU457" s="8"/>
      <c r="BV457" s="8"/>
      <c r="BW457" s="8"/>
      <c r="BX457" s="3"/>
      <c r="BY457" s="3"/>
      <c r="BZ457" s="3"/>
      <c r="CA457" s="8"/>
      <c r="CB457" s="8"/>
      <c r="CC457" s="8"/>
      <c r="CD457" s="8"/>
      <c r="CE457" s="8"/>
      <c r="CF457" s="8"/>
      <c r="CG457" s="9"/>
      <c r="CH457" s="8"/>
      <c r="CI457" s="8"/>
      <c r="CJ457" s="8"/>
      <c r="CK457" s="8"/>
      <c r="CL457" s="8"/>
      <c r="CM457" s="8"/>
      <c r="CN457" s="8"/>
      <c r="CO457" s="8"/>
      <c r="CP457" s="8"/>
      <c r="CQ457" s="9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9"/>
      <c r="DG457" s="9"/>
      <c r="DH457" s="10"/>
      <c r="DI457" s="9"/>
      <c r="DJ457" s="9"/>
      <c r="DK457" s="3"/>
      <c r="DL457" s="3"/>
      <c r="DM457" s="3"/>
    </row>
    <row r="458" ht="11.25" customHeight="1">
      <c r="A458" s="3"/>
      <c r="B458" s="2"/>
      <c r="C458" s="3"/>
      <c r="D458" s="3"/>
      <c r="E458" s="3"/>
      <c r="F458" s="4"/>
      <c r="G458" s="4"/>
      <c r="H458" s="4"/>
      <c r="I458" s="5"/>
      <c r="J458" s="4"/>
      <c r="K458" s="4"/>
      <c r="L458" s="6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3"/>
      <c r="AL458" s="3"/>
      <c r="AM458" s="3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8"/>
      <c r="BU458" s="8"/>
      <c r="BV458" s="8"/>
      <c r="BW458" s="8"/>
      <c r="BX458" s="3"/>
      <c r="BY458" s="3"/>
      <c r="BZ458" s="3"/>
      <c r="CA458" s="8"/>
      <c r="CB458" s="8"/>
      <c r="CC458" s="8"/>
      <c r="CD458" s="8"/>
      <c r="CE458" s="8"/>
      <c r="CF458" s="8"/>
      <c r="CG458" s="9"/>
      <c r="CH458" s="8"/>
      <c r="CI458" s="8"/>
      <c r="CJ458" s="8"/>
      <c r="CK458" s="8"/>
      <c r="CL458" s="8"/>
      <c r="CM458" s="8"/>
      <c r="CN458" s="8"/>
      <c r="CO458" s="8"/>
      <c r="CP458" s="8"/>
      <c r="CQ458" s="9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9"/>
      <c r="DG458" s="9"/>
      <c r="DH458" s="10"/>
      <c r="DI458" s="9"/>
      <c r="DJ458" s="9"/>
      <c r="DK458" s="3"/>
      <c r="DL458" s="3"/>
      <c r="DM458" s="3"/>
    </row>
    <row r="459" ht="11.25" customHeight="1">
      <c r="A459" s="3"/>
      <c r="B459" s="2"/>
      <c r="C459" s="3"/>
      <c r="D459" s="3"/>
      <c r="E459" s="3"/>
      <c r="F459" s="4"/>
      <c r="G459" s="4"/>
      <c r="H459" s="4"/>
      <c r="I459" s="5"/>
      <c r="J459" s="4"/>
      <c r="K459" s="4"/>
      <c r="L459" s="6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3"/>
      <c r="AL459" s="3"/>
      <c r="AM459" s="3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8"/>
      <c r="BU459" s="8"/>
      <c r="BV459" s="8"/>
      <c r="BW459" s="8"/>
      <c r="BX459" s="3"/>
      <c r="BY459" s="3"/>
      <c r="BZ459" s="3"/>
      <c r="CA459" s="8"/>
      <c r="CB459" s="8"/>
      <c r="CC459" s="8"/>
      <c r="CD459" s="8"/>
      <c r="CE459" s="8"/>
      <c r="CF459" s="8"/>
      <c r="CG459" s="9"/>
      <c r="CH459" s="8"/>
      <c r="CI459" s="8"/>
      <c r="CJ459" s="8"/>
      <c r="CK459" s="8"/>
      <c r="CL459" s="8"/>
      <c r="CM459" s="8"/>
      <c r="CN459" s="8"/>
      <c r="CO459" s="8"/>
      <c r="CP459" s="8"/>
      <c r="CQ459" s="9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9"/>
      <c r="DG459" s="9"/>
      <c r="DH459" s="10"/>
      <c r="DI459" s="9"/>
      <c r="DJ459" s="9"/>
      <c r="DK459" s="3"/>
      <c r="DL459" s="3"/>
      <c r="DM459" s="3"/>
    </row>
    <row r="460" ht="11.25" customHeight="1">
      <c r="A460" s="3"/>
      <c r="B460" s="2"/>
      <c r="C460" s="3"/>
      <c r="D460" s="3"/>
      <c r="E460" s="3"/>
      <c r="F460" s="4"/>
      <c r="G460" s="4"/>
      <c r="H460" s="4"/>
      <c r="I460" s="5"/>
      <c r="J460" s="4"/>
      <c r="K460" s="4"/>
      <c r="L460" s="6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3"/>
      <c r="AL460" s="3"/>
      <c r="AM460" s="3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8"/>
      <c r="BU460" s="8"/>
      <c r="BV460" s="8"/>
      <c r="BW460" s="8"/>
      <c r="BX460" s="3"/>
      <c r="BY460" s="3"/>
      <c r="BZ460" s="3"/>
      <c r="CA460" s="8"/>
      <c r="CB460" s="8"/>
      <c r="CC460" s="8"/>
      <c r="CD460" s="8"/>
      <c r="CE460" s="8"/>
      <c r="CF460" s="8"/>
      <c r="CG460" s="9"/>
      <c r="CH460" s="8"/>
      <c r="CI460" s="8"/>
      <c r="CJ460" s="8"/>
      <c r="CK460" s="8"/>
      <c r="CL460" s="8"/>
      <c r="CM460" s="8"/>
      <c r="CN460" s="8"/>
      <c r="CO460" s="8"/>
      <c r="CP460" s="8"/>
      <c r="CQ460" s="9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9"/>
      <c r="DG460" s="9"/>
      <c r="DH460" s="10"/>
      <c r="DI460" s="9"/>
      <c r="DJ460" s="9"/>
      <c r="DK460" s="3"/>
      <c r="DL460" s="3"/>
      <c r="DM460" s="3"/>
    </row>
    <row r="461" ht="11.25" customHeight="1">
      <c r="A461" s="3"/>
      <c r="B461" s="2"/>
      <c r="C461" s="3"/>
      <c r="D461" s="3"/>
      <c r="E461" s="3"/>
      <c r="F461" s="4"/>
      <c r="G461" s="4"/>
      <c r="H461" s="4"/>
      <c r="I461" s="5"/>
      <c r="J461" s="4"/>
      <c r="K461" s="4"/>
      <c r="L461" s="6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3"/>
      <c r="AL461" s="3"/>
      <c r="AM461" s="3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8"/>
      <c r="BU461" s="8"/>
      <c r="BV461" s="8"/>
      <c r="BW461" s="8"/>
      <c r="BX461" s="3"/>
      <c r="BY461" s="3"/>
      <c r="BZ461" s="3"/>
      <c r="CA461" s="8"/>
      <c r="CB461" s="8"/>
      <c r="CC461" s="8"/>
      <c r="CD461" s="8"/>
      <c r="CE461" s="8"/>
      <c r="CF461" s="8"/>
      <c r="CG461" s="9"/>
      <c r="CH461" s="8"/>
      <c r="CI461" s="8"/>
      <c r="CJ461" s="8"/>
      <c r="CK461" s="8"/>
      <c r="CL461" s="8"/>
      <c r="CM461" s="8"/>
      <c r="CN461" s="8"/>
      <c r="CO461" s="8"/>
      <c r="CP461" s="8"/>
      <c r="CQ461" s="9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9"/>
      <c r="DG461" s="9"/>
      <c r="DH461" s="10"/>
      <c r="DI461" s="9"/>
      <c r="DJ461" s="9"/>
      <c r="DK461" s="3"/>
      <c r="DL461" s="3"/>
      <c r="DM461" s="3"/>
    </row>
    <row r="462" ht="11.25" customHeight="1">
      <c r="A462" s="3"/>
      <c r="B462" s="2"/>
      <c r="C462" s="3"/>
      <c r="D462" s="3"/>
      <c r="E462" s="3"/>
      <c r="F462" s="4"/>
      <c r="G462" s="4"/>
      <c r="H462" s="4"/>
      <c r="I462" s="5"/>
      <c r="J462" s="4"/>
      <c r="K462" s="4"/>
      <c r="L462" s="6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3"/>
      <c r="AL462" s="3"/>
      <c r="AM462" s="3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8"/>
      <c r="BU462" s="8"/>
      <c r="BV462" s="8"/>
      <c r="BW462" s="8"/>
      <c r="BX462" s="3"/>
      <c r="BY462" s="3"/>
      <c r="BZ462" s="3"/>
      <c r="CA462" s="8"/>
      <c r="CB462" s="8"/>
      <c r="CC462" s="8"/>
      <c r="CD462" s="8"/>
      <c r="CE462" s="8"/>
      <c r="CF462" s="8"/>
      <c r="CG462" s="9"/>
      <c r="CH462" s="8"/>
      <c r="CI462" s="8"/>
      <c r="CJ462" s="8"/>
      <c r="CK462" s="8"/>
      <c r="CL462" s="8"/>
      <c r="CM462" s="8"/>
      <c r="CN462" s="8"/>
      <c r="CO462" s="8"/>
      <c r="CP462" s="8"/>
      <c r="CQ462" s="9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9"/>
      <c r="DG462" s="9"/>
      <c r="DH462" s="10"/>
      <c r="DI462" s="9"/>
      <c r="DJ462" s="9"/>
      <c r="DK462" s="3"/>
      <c r="DL462" s="3"/>
      <c r="DM462" s="3"/>
    </row>
    <row r="463" ht="11.25" customHeight="1">
      <c r="A463" s="3"/>
      <c r="B463" s="2"/>
      <c r="C463" s="3"/>
      <c r="D463" s="3"/>
      <c r="E463" s="3"/>
      <c r="F463" s="4"/>
      <c r="G463" s="4"/>
      <c r="H463" s="4"/>
      <c r="I463" s="5"/>
      <c r="J463" s="4"/>
      <c r="K463" s="4"/>
      <c r="L463" s="6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3"/>
      <c r="AL463" s="3"/>
      <c r="AM463" s="3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8"/>
      <c r="BU463" s="8"/>
      <c r="BV463" s="8"/>
      <c r="BW463" s="8"/>
      <c r="BX463" s="3"/>
      <c r="BY463" s="3"/>
      <c r="BZ463" s="3"/>
      <c r="CA463" s="8"/>
      <c r="CB463" s="8"/>
      <c r="CC463" s="8"/>
      <c r="CD463" s="8"/>
      <c r="CE463" s="8"/>
      <c r="CF463" s="8"/>
      <c r="CG463" s="9"/>
      <c r="CH463" s="8"/>
      <c r="CI463" s="8"/>
      <c r="CJ463" s="8"/>
      <c r="CK463" s="8"/>
      <c r="CL463" s="8"/>
      <c r="CM463" s="8"/>
      <c r="CN463" s="8"/>
      <c r="CO463" s="8"/>
      <c r="CP463" s="8"/>
      <c r="CQ463" s="9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9"/>
      <c r="DG463" s="9"/>
      <c r="DH463" s="10"/>
      <c r="DI463" s="9"/>
      <c r="DJ463" s="9"/>
      <c r="DK463" s="3"/>
      <c r="DL463" s="3"/>
      <c r="DM463" s="3"/>
    </row>
    <row r="464" ht="11.25" customHeight="1">
      <c r="A464" s="3"/>
      <c r="B464" s="2"/>
      <c r="C464" s="3"/>
      <c r="D464" s="3"/>
      <c r="E464" s="3"/>
      <c r="F464" s="4"/>
      <c r="G464" s="4"/>
      <c r="H464" s="4"/>
      <c r="I464" s="5"/>
      <c r="J464" s="4"/>
      <c r="K464" s="4"/>
      <c r="L464" s="6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3"/>
      <c r="AL464" s="3"/>
      <c r="AM464" s="3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8"/>
      <c r="BU464" s="8"/>
      <c r="BV464" s="8"/>
      <c r="BW464" s="8"/>
      <c r="BX464" s="3"/>
      <c r="BY464" s="3"/>
      <c r="BZ464" s="3"/>
      <c r="CA464" s="8"/>
      <c r="CB464" s="8"/>
      <c r="CC464" s="8"/>
      <c r="CD464" s="8"/>
      <c r="CE464" s="8"/>
      <c r="CF464" s="8"/>
      <c r="CG464" s="9"/>
      <c r="CH464" s="8"/>
      <c r="CI464" s="8"/>
      <c r="CJ464" s="8"/>
      <c r="CK464" s="8"/>
      <c r="CL464" s="8"/>
      <c r="CM464" s="8"/>
      <c r="CN464" s="8"/>
      <c r="CO464" s="8"/>
      <c r="CP464" s="8"/>
      <c r="CQ464" s="9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9"/>
      <c r="DG464" s="9"/>
      <c r="DH464" s="10"/>
      <c r="DI464" s="9"/>
      <c r="DJ464" s="9"/>
      <c r="DK464" s="3"/>
      <c r="DL464" s="3"/>
      <c r="DM464" s="3"/>
    </row>
    <row r="465" ht="11.25" customHeight="1">
      <c r="A465" s="3"/>
      <c r="B465" s="2"/>
      <c r="C465" s="3"/>
      <c r="D465" s="3"/>
      <c r="E465" s="3"/>
      <c r="F465" s="4"/>
      <c r="G465" s="4"/>
      <c r="H465" s="4"/>
      <c r="I465" s="5"/>
      <c r="J465" s="4"/>
      <c r="K465" s="4"/>
      <c r="L465" s="6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3"/>
      <c r="AL465" s="3"/>
      <c r="AM465" s="3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8"/>
      <c r="BU465" s="8"/>
      <c r="BV465" s="8"/>
      <c r="BW465" s="8"/>
      <c r="BX465" s="3"/>
      <c r="BY465" s="3"/>
      <c r="BZ465" s="3"/>
      <c r="CA465" s="8"/>
      <c r="CB465" s="8"/>
      <c r="CC465" s="8"/>
      <c r="CD465" s="8"/>
      <c r="CE465" s="8"/>
      <c r="CF465" s="8"/>
      <c r="CG465" s="9"/>
      <c r="CH465" s="8"/>
      <c r="CI465" s="8"/>
      <c r="CJ465" s="8"/>
      <c r="CK465" s="8"/>
      <c r="CL465" s="8"/>
      <c r="CM465" s="8"/>
      <c r="CN465" s="8"/>
      <c r="CO465" s="8"/>
      <c r="CP465" s="8"/>
      <c r="CQ465" s="9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9"/>
      <c r="DG465" s="9"/>
      <c r="DH465" s="10"/>
      <c r="DI465" s="9"/>
      <c r="DJ465" s="9"/>
      <c r="DK465" s="3"/>
      <c r="DL465" s="3"/>
      <c r="DM465" s="3"/>
    </row>
    <row r="466" ht="11.25" customHeight="1">
      <c r="A466" s="3"/>
      <c r="B466" s="2"/>
      <c r="C466" s="3"/>
      <c r="D466" s="3"/>
      <c r="E466" s="3"/>
      <c r="F466" s="4"/>
      <c r="G466" s="4"/>
      <c r="H466" s="4"/>
      <c r="I466" s="5"/>
      <c r="J466" s="4"/>
      <c r="K466" s="4"/>
      <c r="L466" s="6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3"/>
      <c r="AL466" s="3"/>
      <c r="AM466" s="3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8"/>
      <c r="BU466" s="8"/>
      <c r="BV466" s="8"/>
      <c r="BW466" s="8"/>
      <c r="BX466" s="3"/>
      <c r="BY466" s="3"/>
      <c r="BZ466" s="3"/>
      <c r="CA466" s="8"/>
      <c r="CB466" s="8"/>
      <c r="CC466" s="8"/>
      <c r="CD466" s="8"/>
      <c r="CE466" s="8"/>
      <c r="CF466" s="8"/>
      <c r="CG466" s="9"/>
      <c r="CH466" s="8"/>
      <c r="CI466" s="8"/>
      <c r="CJ466" s="8"/>
      <c r="CK466" s="8"/>
      <c r="CL466" s="8"/>
      <c r="CM466" s="8"/>
      <c r="CN466" s="8"/>
      <c r="CO466" s="8"/>
      <c r="CP466" s="8"/>
      <c r="CQ466" s="9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9"/>
      <c r="DG466" s="9"/>
      <c r="DH466" s="10"/>
      <c r="DI466" s="9"/>
      <c r="DJ466" s="9"/>
      <c r="DK466" s="3"/>
      <c r="DL466" s="3"/>
      <c r="DM466" s="3"/>
    </row>
    <row r="467" ht="11.25" customHeight="1">
      <c r="A467" s="3"/>
      <c r="B467" s="2"/>
      <c r="C467" s="3"/>
      <c r="D467" s="3"/>
      <c r="E467" s="3"/>
      <c r="F467" s="4"/>
      <c r="G467" s="4"/>
      <c r="H467" s="4"/>
      <c r="I467" s="5"/>
      <c r="J467" s="4"/>
      <c r="K467" s="4"/>
      <c r="L467" s="6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3"/>
      <c r="AL467" s="3"/>
      <c r="AM467" s="3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8"/>
      <c r="BU467" s="8"/>
      <c r="BV467" s="8"/>
      <c r="BW467" s="8"/>
      <c r="BX467" s="3"/>
      <c r="BY467" s="3"/>
      <c r="BZ467" s="3"/>
      <c r="CA467" s="8"/>
      <c r="CB467" s="8"/>
      <c r="CC467" s="8"/>
      <c r="CD467" s="8"/>
      <c r="CE467" s="8"/>
      <c r="CF467" s="8"/>
      <c r="CG467" s="9"/>
      <c r="CH467" s="8"/>
      <c r="CI467" s="8"/>
      <c r="CJ467" s="8"/>
      <c r="CK467" s="8"/>
      <c r="CL467" s="8"/>
      <c r="CM467" s="8"/>
      <c r="CN467" s="8"/>
      <c r="CO467" s="8"/>
      <c r="CP467" s="8"/>
      <c r="CQ467" s="9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9"/>
      <c r="DG467" s="9"/>
      <c r="DH467" s="10"/>
      <c r="DI467" s="9"/>
      <c r="DJ467" s="9"/>
      <c r="DK467" s="3"/>
      <c r="DL467" s="3"/>
      <c r="DM467" s="3"/>
    </row>
    <row r="468" ht="11.25" customHeight="1">
      <c r="A468" s="3"/>
      <c r="B468" s="2"/>
      <c r="C468" s="3"/>
      <c r="D468" s="3"/>
      <c r="E468" s="3"/>
      <c r="F468" s="4"/>
      <c r="G468" s="4"/>
      <c r="H468" s="4"/>
      <c r="I468" s="5"/>
      <c r="J468" s="4"/>
      <c r="K468" s="4"/>
      <c r="L468" s="6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3"/>
      <c r="AL468" s="3"/>
      <c r="AM468" s="3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8"/>
      <c r="BU468" s="8"/>
      <c r="BV468" s="8"/>
      <c r="BW468" s="8"/>
      <c r="BX468" s="3"/>
      <c r="BY468" s="3"/>
      <c r="BZ468" s="3"/>
      <c r="CA468" s="8"/>
      <c r="CB468" s="8"/>
      <c r="CC468" s="8"/>
      <c r="CD468" s="8"/>
      <c r="CE468" s="8"/>
      <c r="CF468" s="8"/>
      <c r="CG468" s="9"/>
      <c r="CH468" s="8"/>
      <c r="CI468" s="8"/>
      <c r="CJ468" s="8"/>
      <c r="CK468" s="8"/>
      <c r="CL468" s="8"/>
      <c r="CM468" s="8"/>
      <c r="CN468" s="8"/>
      <c r="CO468" s="8"/>
      <c r="CP468" s="8"/>
      <c r="CQ468" s="9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9"/>
      <c r="DG468" s="9"/>
      <c r="DH468" s="10"/>
      <c r="DI468" s="9"/>
      <c r="DJ468" s="9"/>
      <c r="DK468" s="3"/>
      <c r="DL468" s="3"/>
      <c r="DM468" s="3"/>
    </row>
    <row r="469" ht="11.25" customHeight="1">
      <c r="A469" s="3"/>
      <c r="B469" s="2"/>
      <c r="C469" s="3"/>
      <c r="D469" s="3"/>
      <c r="E469" s="3"/>
      <c r="F469" s="4"/>
      <c r="G469" s="4"/>
      <c r="H469" s="4"/>
      <c r="I469" s="5"/>
      <c r="J469" s="4"/>
      <c r="K469" s="4"/>
      <c r="L469" s="6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3"/>
      <c r="AL469" s="3"/>
      <c r="AM469" s="3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8"/>
      <c r="BU469" s="8"/>
      <c r="BV469" s="8"/>
      <c r="BW469" s="8"/>
      <c r="BX469" s="3"/>
      <c r="BY469" s="3"/>
      <c r="BZ469" s="3"/>
      <c r="CA469" s="8"/>
      <c r="CB469" s="8"/>
      <c r="CC469" s="8"/>
      <c r="CD469" s="8"/>
      <c r="CE469" s="8"/>
      <c r="CF469" s="8"/>
      <c r="CG469" s="9"/>
      <c r="CH469" s="8"/>
      <c r="CI469" s="8"/>
      <c r="CJ469" s="8"/>
      <c r="CK469" s="8"/>
      <c r="CL469" s="8"/>
      <c r="CM469" s="8"/>
      <c r="CN469" s="8"/>
      <c r="CO469" s="8"/>
      <c r="CP469" s="8"/>
      <c r="CQ469" s="9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9"/>
      <c r="DG469" s="9"/>
      <c r="DH469" s="10"/>
      <c r="DI469" s="9"/>
      <c r="DJ469" s="9"/>
      <c r="DK469" s="3"/>
      <c r="DL469" s="3"/>
      <c r="DM469" s="3"/>
    </row>
    <row r="470" ht="11.25" customHeight="1">
      <c r="A470" s="3"/>
      <c r="B470" s="2"/>
      <c r="C470" s="3"/>
      <c r="D470" s="3"/>
      <c r="E470" s="3"/>
      <c r="F470" s="4"/>
      <c r="G470" s="4"/>
      <c r="H470" s="4"/>
      <c r="I470" s="5"/>
      <c r="J470" s="4"/>
      <c r="K470" s="4"/>
      <c r="L470" s="6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3"/>
      <c r="AL470" s="3"/>
      <c r="AM470" s="3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8"/>
      <c r="BU470" s="8"/>
      <c r="BV470" s="8"/>
      <c r="BW470" s="8"/>
      <c r="BX470" s="3"/>
      <c r="BY470" s="3"/>
      <c r="BZ470" s="3"/>
      <c r="CA470" s="8"/>
      <c r="CB470" s="8"/>
      <c r="CC470" s="8"/>
      <c r="CD470" s="8"/>
      <c r="CE470" s="8"/>
      <c r="CF470" s="8"/>
      <c r="CG470" s="9"/>
      <c r="CH470" s="8"/>
      <c r="CI470" s="8"/>
      <c r="CJ470" s="8"/>
      <c r="CK470" s="8"/>
      <c r="CL470" s="8"/>
      <c r="CM470" s="8"/>
      <c r="CN470" s="8"/>
      <c r="CO470" s="8"/>
      <c r="CP470" s="8"/>
      <c r="CQ470" s="9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9"/>
      <c r="DG470" s="9"/>
      <c r="DH470" s="10"/>
      <c r="DI470" s="9"/>
      <c r="DJ470" s="9"/>
      <c r="DK470" s="3"/>
      <c r="DL470" s="3"/>
      <c r="DM470" s="3"/>
    </row>
    <row r="471" ht="11.25" customHeight="1">
      <c r="A471" s="3"/>
      <c r="B471" s="2"/>
      <c r="C471" s="3"/>
      <c r="D471" s="3"/>
      <c r="E471" s="3"/>
      <c r="F471" s="4"/>
      <c r="G471" s="4"/>
      <c r="H471" s="4"/>
      <c r="I471" s="5"/>
      <c r="J471" s="4"/>
      <c r="K471" s="4"/>
      <c r="L471" s="6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3"/>
      <c r="AL471" s="3"/>
      <c r="AM471" s="3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8"/>
      <c r="BU471" s="8"/>
      <c r="BV471" s="8"/>
      <c r="BW471" s="8"/>
      <c r="BX471" s="3"/>
      <c r="BY471" s="3"/>
      <c r="BZ471" s="3"/>
      <c r="CA471" s="8"/>
      <c r="CB471" s="8"/>
      <c r="CC471" s="8"/>
      <c r="CD471" s="8"/>
      <c r="CE471" s="8"/>
      <c r="CF471" s="8"/>
      <c r="CG471" s="9"/>
      <c r="CH471" s="8"/>
      <c r="CI471" s="8"/>
      <c r="CJ471" s="8"/>
      <c r="CK471" s="8"/>
      <c r="CL471" s="8"/>
      <c r="CM471" s="8"/>
      <c r="CN471" s="8"/>
      <c r="CO471" s="8"/>
      <c r="CP471" s="8"/>
      <c r="CQ471" s="9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9"/>
      <c r="DG471" s="9"/>
      <c r="DH471" s="10"/>
      <c r="DI471" s="9"/>
      <c r="DJ471" s="9"/>
      <c r="DK471" s="3"/>
      <c r="DL471" s="3"/>
      <c r="DM471" s="3"/>
    </row>
    <row r="472" ht="11.25" customHeight="1">
      <c r="A472" s="3"/>
      <c r="B472" s="2"/>
      <c r="C472" s="3"/>
      <c r="D472" s="3"/>
      <c r="E472" s="3"/>
      <c r="F472" s="4"/>
      <c r="G472" s="4"/>
      <c r="H472" s="4"/>
      <c r="I472" s="5"/>
      <c r="J472" s="4"/>
      <c r="K472" s="4"/>
      <c r="L472" s="6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3"/>
      <c r="AL472" s="3"/>
      <c r="AM472" s="3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8"/>
      <c r="BU472" s="8"/>
      <c r="BV472" s="8"/>
      <c r="BW472" s="8"/>
      <c r="BX472" s="3"/>
      <c r="BY472" s="3"/>
      <c r="BZ472" s="3"/>
      <c r="CA472" s="8"/>
      <c r="CB472" s="8"/>
      <c r="CC472" s="8"/>
      <c r="CD472" s="8"/>
      <c r="CE472" s="8"/>
      <c r="CF472" s="8"/>
      <c r="CG472" s="9"/>
      <c r="CH472" s="8"/>
      <c r="CI472" s="8"/>
      <c r="CJ472" s="8"/>
      <c r="CK472" s="8"/>
      <c r="CL472" s="8"/>
      <c r="CM472" s="8"/>
      <c r="CN472" s="8"/>
      <c r="CO472" s="8"/>
      <c r="CP472" s="8"/>
      <c r="CQ472" s="9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9"/>
      <c r="DG472" s="9"/>
      <c r="DH472" s="10"/>
      <c r="DI472" s="9"/>
      <c r="DJ472" s="9"/>
      <c r="DK472" s="3"/>
      <c r="DL472" s="3"/>
      <c r="DM472" s="3"/>
    </row>
    <row r="473" ht="11.25" customHeight="1">
      <c r="A473" s="3"/>
      <c r="B473" s="2"/>
      <c r="C473" s="3"/>
      <c r="D473" s="3"/>
      <c r="E473" s="3"/>
      <c r="F473" s="4"/>
      <c r="G473" s="4"/>
      <c r="H473" s="4"/>
      <c r="I473" s="5"/>
      <c r="J473" s="4"/>
      <c r="K473" s="4"/>
      <c r="L473" s="6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3"/>
      <c r="AL473" s="3"/>
      <c r="AM473" s="3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8"/>
      <c r="BU473" s="8"/>
      <c r="BV473" s="8"/>
      <c r="BW473" s="8"/>
      <c r="BX473" s="3"/>
      <c r="BY473" s="3"/>
      <c r="BZ473" s="3"/>
      <c r="CA473" s="8"/>
      <c r="CB473" s="8"/>
      <c r="CC473" s="8"/>
      <c r="CD473" s="8"/>
      <c r="CE473" s="8"/>
      <c r="CF473" s="8"/>
      <c r="CG473" s="9"/>
      <c r="CH473" s="8"/>
      <c r="CI473" s="8"/>
      <c r="CJ473" s="8"/>
      <c r="CK473" s="8"/>
      <c r="CL473" s="8"/>
      <c r="CM473" s="8"/>
      <c r="CN473" s="8"/>
      <c r="CO473" s="8"/>
      <c r="CP473" s="8"/>
      <c r="CQ473" s="9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9"/>
      <c r="DG473" s="9"/>
      <c r="DH473" s="10"/>
      <c r="DI473" s="9"/>
      <c r="DJ473" s="9"/>
      <c r="DK473" s="3"/>
      <c r="DL473" s="3"/>
      <c r="DM473" s="3"/>
    </row>
    <row r="474" ht="11.25" customHeight="1">
      <c r="A474" s="3"/>
      <c r="B474" s="2"/>
      <c r="C474" s="3"/>
      <c r="D474" s="3"/>
      <c r="E474" s="3"/>
      <c r="F474" s="4"/>
      <c r="G474" s="4"/>
      <c r="H474" s="4"/>
      <c r="I474" s="5"/>
      <c r="J474" s="4"/>
      <c r="K474" s="4"/>
      <c r="L474" s="6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3"/>
      <c r="AL474" s="3"/>
      <c r="AM474" s="3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8"/>
      <c r="BU474" s="8"/>
      <c r="BV474" s="8"/>
      <c r="BW474" s="8"/>
      <c r="BX474" s="3"/>
      <c r="BY474" s="3"/>
      <c r="BZ474" s="3"/>
      <c r="CA474" s="8"/>
      <c r="CB474" s="8"/>
      <c r="CC474" s="8"/>
      <c r="CD474" s="8"/>
      <c r="CE474" s="8"/>
      <c r="CF474" s="8"/>
      <c r="CG474" s="9"/>
      <c r="CH474" s="8"/>
      <c r="CI474" s="8"/>
      <c r="CJ474" s="8"/>
      <c r="CK474" s="8"/>
      <c r="CL474" s="8"/>
      <c r="CM474" s="8"/>
      <c r="CN474" s="8"/>
      <c r="CO474" s="8"/>
      <c r="CP474" s="8"/>
      <c r="CQ474" s="9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9"/>
      <c r="DG474" s="9"/>
      <c r="DH474" s="10"/>
      <c r="DI474" s="9"/>
      <c r="DJ474" s="9"/>
      <c r="DK474" s="3"/>
      <c r="DL474" s="3"/>
      <c r="DM474" s="3"/>
    </row>
    <row r="475" ht="11.25" customHeight="1">
      <c r="A475" s="3"/>
      <c r="B475" s="2"/>
      <c r="C475" s="3"/>
      <c r="D475" s="3"/>
      <c r="E475" s="3"/>
      <c r="F475" s="4"/>
      <c r="G475" s="4"/>
      <c r="H475" s="4"/>
      <c r="I475" s="5"/>
      <c r="J475" s="4"/>
      <c r="K475" s="4"/>
      <c r="L475" s="6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3"/>
      <c r="AL475" s="3"/>
      <c r="AM475" s="3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8"/>
      <c r="BU475" s="8"/>
      <c r="BV475" s="8"/>
      <c r="BW475" s="8"/>
      <c r="BX475" s="3"/>
      <c r="BY475" s="3"/>
      <c r="BZ475" s="3"/>
      <c r="CA475" s="8"/>
      <c r="CB475" s="8"/>
      <c r="CC475" s="8"/>
      <c r="CD475" s="8"/>
      <c r="CE475" s="8"/>
      <c r="CF475" s="8"/>
      <c r="CG475" s="9"/>
      <c r="CH475" s="8"/>
      <c r="CI475" s="8"/>
      <c r="CJ475" s="8"/>
      <c r="CK475" s="8"/>
      <c r="CL475" s="8"/>
      <c r="CM475" s="8"/>
      <c r="CN475" s="8"/>
      <c r="CO475" s="8"/>
      <c r="CP475" s="8"/>
      <c r="CQ475" s="9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9"/>
      <c r="DG475" s="9"/>
      <c r="DH475" s="10"/>
      <c r="DI475" s="9"/>
      <c r="DJ475" s="9"/>
      <c r="DK475" s="3"/>
      <c r="DL475" s="3"/>
      <c r="DM475" s="3"/>
    </row>
    <row r="476" ht="11.25" customHeight="1">
      <c r="A476" s="3"/>
      <c r="B476" s="2"/>
      <c r="C476" s="3"/>
      <c r="D476" s="3"/>
      <c r="E476" s="3"/>
      <c r="F476" s="4"/>
      <c r="G476" s="4"/>
      <c r="H476" s="4"/>
      <c r="I476" s="5"/>
      <c r="J476" s="4"/>
      <c r="K476" s="4"/>
      <c r="L476" s="6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3"/>
      <c r="AL476" s="3"/>
      <c r="AM476" s="3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8"/>
      <c r="BU476" s="8"/>
      <c r="BV476" s="8"/>
      <c r="BW476" s="8"/>
      <c r="BX476" s="3"/>
      <c r="BY476" s="3"/>
      <c r="BZ476" s="3"/>
      <c r="CA476" s="8"/>
      <c r="CB476" s="8"/>
      <c r="CC476" s="8"/>
      <c r="CD476" s="8"/>
      <c r="CE476" s="8"/>
      <c r="CF476" s="8"/>
      <c r="CG476" s="9"/>
      <c r="CH476" s="8"/>
      <c r="CI476" s="8"/>
      <c r="CJ476" s="8"/>
      <c r="CK476" s="8"/>
      <c r="CL476" s="8"/>
      <c r="CM476" s="8"/>
      <c r="CN476" s="8"/>
      <c r="CO476" s="8"/>
      <c r="CP476" s="8"/>
      <c r="CQ476" s="9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9"/>
      <c r="DG476" s="9"/>
      <c r="DH476" s="10"/>
      <c r="DI476" s="9"/>
      <c r="DJ476" s="9"/>
      <c r="DK476" s="3"/>
      <c r="DL476" s="3"/>
      <c r="DM476" s="3"/>
    </row>
    <row r="477" ht="11.25" customHeight="1">
      <c r="A477" s="3"/>
      <c r="B477" s="2"/>
      <c r="C477" s="3"/>
      <c r="D477" s="3"/>
      <c r="E477" s="3"/>
      <c r="F477" s="4"/>
      <c r="G477" s="4"/>
      <c r="H477" s="4"/>
      <c r="I477" s="5"/>
      <c r="J477" s="4"/>
      <c r="K477" s="4"/>
      <c r="L477" s="6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3"/>
      <c r="AL477" s="3"/>
      <c r="AM477" s="3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8"/>
      <c r="BU477" s="8"/>
      <c r="BV477" s="8"/>
      <c r="BW477" s="8"/>
      <c r="BX477" s="3"/>
      <c r="BY477" s="3"/>
      <c r="BZ477" s="3"/>
      <c r="CA477" s="8"/>
      <c r="CB477" s="8"/>
      <c r="CC477" s="8"/>
      <c r="CD477" s="8"/>
      <c r="CE477" s="8"/>
      <c r="CF477" s="8"/>
      <c r="CG477" s="9"/>
      <c r="CH477" s="8"/>
      <c r="CI477" s="8"/>
      <c r="CJ477" s="8"/>
      <c r="CK477" s="8"/>
      <c r="CL477" s="8"/>
      <c r="CM477" s="8"/>
      <c r="CN477" s="8"/>
      <c r="CO477" s="8"/>
      <c r="CP477" s="8"/>
      <c r="CQ477" s="9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9"/>
      <c r="DG477" s="9"/>
      <c r="DH477" s="10"/>
      <c r="DI477" s="9"/>
      <c r="DJ477" s="9"/>
      <c r="DK477" s="3"/>
      <c r="DL477" s="3"/>
      <c r="DM477" s="3"/>
    </row>
    <row r="478" ht="11.25" customHeight="1">
      <c r="A478" s="3"/>
      <c r="B478" s="2"/>
      <c r="C478" s="3"/>
      <c r="D478" s="3"/>
      <c r="E478" s="3"/>
      <c r="F478" s="4"/>
      <c r="G478" s="4"/>
      <c r="H478" s="4"/>
      <c r="I478" s="5"/>
      <c r="J478" s="4"/>
      <c r="K478" s="4"/>
      <c r="L478" s="6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3"/>
      <c r="AL478" s="3"/>
      <c r="AM478" s="3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8"/>
      <c r="BU478" s="8"/>
      <c r="BV478" s="8"/>
      <c r="BW478" s="8"/>
      <c r="BX478" s="3"/>
      <c r="BY478" s="3"/>
      <c r="BZ478" s="3"/>
      <c r="CA478" s="8"/>
      <c r="CB478" s="8"/>
      <c r="CC478" s="8"/>
      <c r="CD478" s="8"/>
      <c r="CE478" s="8"/>
      <c r="CF478" s="8"/>
      <c r="CG478" s="9"/>
      <c r="CH478" s="8"/>
      <c r="CI478" s="8"/>
      <c r="CJ478" s="8"/>
      <c r="CK478" s="8"/>
      <c r="CL478" s="8"/>
      <c r="CM478" s="8"/>
      <c r="CN478" s="8"/>
      <c r="CO478" s="8"/>
      <c r="CP478" s="8"/>
      <c r="CQ478" s="9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9"/>
      <c r="DG478" s="9"/>
      <c r="DH478" s="10"/>
      <c r="DI478" s="9"/>
      <c r="DJ478" s="9"/>
      <c r="DK478" s="3"/>
      <c r="DL478" s="3"/>
      <c r="DM478" s="3"/>
    </row>
    <row r="479" ht="11.25" customHeight="1">
      <c r="A479" s="3"/>
      <c r="B479" s="2"/>
      <c r="C479" s="3"/>
      <c r="D479" s="3"/>
      <c r="E479" s="3"/>
      <c r="F479" s="4"/>
      <c r="G479" s="4"/>
      <c r="H479" s="4"/>
      <c r="I479" s="5"/>
      <c r="J479" s="4"/>
      <c r="K479" s="4"/>
      <c r="L479" s="6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3"/>
      <c r="AL479" s="3"/>
      <c r="AM479" s="3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8"/>
      <c r="BU479" s="8"/>
      <c r="BV479" s="8"/>
      <c r="BW479" s="8"/>
      <c r="BX479" s="3"/>
      <c r="BY479" s="3"/>
      <c r="BZ479" s="3"/>
      <c r="CA479" s="8"/>
      <c r="CB479" s="8"/>
      <c r="CC479" s="8"/>
      <c r="CD479" s="8"/>
      <c r="CE479" s="8"/>
      <c r="CF479" s="8"/>
      <c r="CG479" s="9"/>
      <c r="CH479" s="8"/>
      <c r="CI479" s="8"/>
      <c r="CJ479" s="8"/>
      <c r="CK479" s="8"/>
      <c r="CL479" s="8"/>
      <c r="CM479" s="8"/>
      <c r="CN479" s="8"/>
      <c r="CO479" s="8"/>
      <c r="CP479" s="8"/>
      <c r="CQ479" s="9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9"/>
      <c r="DG479" s="9"/>
      <c r="DH479" s="10"/>
      <c r="DI479" s="9"/>
      <c r="DJ479" s="9"/>
      <c r="DK479" s="3"/>
      <c r="DL479" s="3"/>
      <c r="DM479" s="3"/>
    </row>
    <row r="480" ht="11.25" customHeight="1">
      <c r="A480" s="3"/>
      <c r="B480" s="2"/>
      <c r="C480" s="3"/>
      <c r="D480" s="3"/>
      <c r="E480" s="3"/>
      <c r="F480" s="4"/>
      <c r="G480" s="4"/>
      <c r="H480" s="4"/>
      <c r="I480" s="5"/>
      <c r="J480" s="4"/>
      <c r="K480" s="4"/>
      <c r="L480" s="6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3"/>
      <c r="AL480" s="3"/>
      <c r="AM480" s="3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8"/>
      <c r="BU480" s="8"/>
      <c r="BV480" s="8"/>
      <c r="BW480" s="8"/>
      <c r="BX480" s="3"/>
      <c r="BY480" s="3"/>
      <c r="BZ480" s="3"/>
      <c r="CA480" s="8"/>
      <c r="CB480" s="8"/>
      <c r="CC480" s="8"/>
      <c r="CD480" s="8"/>
      <c r="CE480" s="8"/>
      <c r="CF480" s="8"/>
      <c r="CG480" s="9"/>
      <c r="CH480" s="8"/>
      <c r="CI480" s="8"/>
      <c r="CJ480" s="8"/>
      <c r="CK480" s="8"/>
      <c r="CL480" s="8"/>
      <c r="CM480" s="8"/>
      <c r="CN480" s="8"/>
      <c r="CO480" s="8"/>
      <c r="CP480" s="8"/>
      <c r="CQ480" s="9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9"/>
      <c r="DG480" s="9"/>
      <c r="DH480" s="10"/>
      <c r="DI480" s="9"/>
      <c r="DJ480" s="9"/>
      <c r="DK480" s="3"/>
      <c r="DL480" s="3"/>
      <c r="DM480" s="3"/>
    </row>
    <row r="481" ht="11.25" customHeight="1">
      <c r="A481" s="3"/>
      <c r="B481" s="2"/>
      <c r="C481" s="3"/>
      <c r="D481" s="3"/>
      <c r="E481" s="3"/>
      <c r="F481" s="4"/>
      <c r="G481" s="4"/>
      <c r="H481" s="4"/>
      <c r="I481" s="5"/>
      <c r="J481" s="4"/>
      <c r="K481" s="4"/>
      <c r="L481" s="6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3"/>
      <c r="AL481" s="3"/>
      <c r="AM481" s="3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8"/>
      <c r="BU481" s="8"/>
      <c r="BV481" s="8"/>
      <c r="BW481" s="8"/>
      <c r="BX481" s="3"/>
      <c r="BY481" s="3"/>
      <c r="BZ481" s="3"/>
      <c r="CA481" s="8"/>
      <c r="CB481" s="8"/>
      <c r="CC481" s="8"/>
      <c r="CD481" s="8"/>
      <c r="CE481" s="8"/>
      <c r="CF481" s="8"/>
      <c r="CG481" s="9"/>
      <c r="CH481" s="8"/>
      <c r="CI481" s="8"/>
      <c r="CJ481" s="8"/>
      <c r="CK481" s="8"/>
      <c r="CL481" s="8"/>
      <c r="CM481" s="8"/>
      <c r="CN481" s="8"/>
      <c r="CO481" s="8"/>
      <c r="CP481" s="8"/>
      <c r="CQ481" s="9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9"/>
      <c r="DG481" s="9"/>
      <c r="DH481" s="10"/>
      <c r="DI481" s="9"/>
      <c r="DJ481" s="9"/>
      <c r="DK481" s="3"/>
      <c r="DL481" s="3"/>
      <c r="DM481" s="3"/>
    </row>
    <row r="482" ht="11.25" customHeight="1">
      <c r="A482" s="3"/>
      <c r="B482" s="2"/>
      <c r="C482" s="3"/>
      <c r="D482" s="3"/>
      <c r="E482" s="3"/>
      <c r="F482" s="4"/>
      <c r="G482" s="4"/>
      <c r="H482" s="4"/>
      <c r="I482" s="5"/>
      <c r="J482" s="4"/>
      <c r="K482" s="4"/>
      <c r="L482" s="6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3"/>
      <c r="AL482" s="3"/>
      <c r="AM482" s="3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8"/>
      <c r="BU482" s="8"/>
      <c r="BV482" s="8"/>
      <c r="BW482" s="8"/>
      <c r="BX482" s="3"/>
      <c r="BY482" s="3"/>
      <c r="BZ482" s="3"/>
      <c r="CA482" s="8"/>
      <c r="CB482" s="8"/>
      <c r="CC482" s="8"/>
      <c r="CD482" s="8"/>
      <c r="CE482" s="8"/>
      <c r="CF482" s="8"/>
      <c r="CG482" s="9"/>
      <c r="CH482" s="8"/>
      <c r="CI482" s="8"/>
      <c r="CJ482" s="8"/>
      <c r="CK482" s="8"/>
      <c r="CL482" s="8"/>
      <c r="CM482" s="8"/>
      <c r="CN482" s="8"/>
      <c r="CO482" s="8"/>
      <c r="CP482" s="8"/>
      <c r="CQ482" s="9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9"/>
      <c r="DG482" s="9"/>
      <c r="DH482" s="10"/>
      <c r="DI482" s="9"/>
      <c r="DJ482" s="9"/>
      <c r="DK482" s="3"/>
      <c r="DL482" s="3"/>
      <c r="DM482" s="3"/>
    </row>
    <row r="483" ht="11.25" customHeight="1">
      <c r="A483" s="3"/>
      <c r="B483" s="2"/>
      <c r="C483" s="3"/>
      <c r="D483" s="3"/>
      <c r="E483" s="3"/>
      <c r="F483" s="4"/>
      <c r="G483" s="4"/>
      <c r="H483" s="4"/>
      <c r="I483" s="5"/>
      <c r="J483" s="4"/>
      <c r="K483" s="4"/>
      <c r="L483" s="6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3"/>
      <c r="AL483" s="3"/>
      <c r="AM483" s="3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8"/>
      <c r="BU483" s="8"/>
      <c r="BV483" s="8"/>
      <c r="BW483" s="8"/>
      <c r="BX483" s="3"/>
      <c r="BY483" s="3"/>
      <c r="BZ483" s="3"/>
      <c r="CA483" s="8"/>
      <c r="CB483" s="8"/>
      <c r="CC483" s="8"/>
      <c r="CD483" s="8"/>
      <c r="CE483" s="8"/>
      <c r="CF483" s="8"/>
      <c r="CG483" s="9"/>
      <c r="CH483" s="8"/>
      <c r="CI483" s="8"/>
      <c r="CJ483" s="8"/>
      <c r="CK483" s="8"/>
      <c r="CL483" s="8"/>
      <c r="CM483" s="8"/>
      <c r="CN483" s="8"/>
      <c r="CO483" s="8"/>
      <c r="CP483" s="8"/>
      <c r="CQ483" s="9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9"/>
      <c r="DG483" s="9"/>
      <c r="DH483" s="10"/>
      <c r="DI483" s="9"/>
      <c r="DJ483" s="9"/>
      <c r="DK483" s="3"/>
      <c r="DL483" s="3"/>
      <c r="DM483" s="3"/>
    </row>
    <row r="484" ht="11.25" customHeight="1">
      <c r="A484" s="3"/>
      <c r="B484" s="2"/>
      <c r="C484" s="3"/>
      <c r="D484" s="3"/>
      <c r="E484" s="3"/>
      <c r="F484" s="4"/>
      <c r="G484" s="4"/>
      <c r="H484" s="4"/>
      <c r="I484" s="5"/>
      <c r="J484" s="4"/>
      <c r="K484" s="4"/>
      <c r="L484" s="6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3"/>
      <c r="AL484" s="3"/>
      <c r="AM484" s="3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8"/>
      <c r="BU484" s="8"/>
      <c r="BV484" s="8"/>
      <c r="BW484" s="8"/>
      <c r="BX484" s="3"/>
      <c r="BY484" s="3"/>
      <c r="BZ484" s="3"/>
      <c r="CA484" s="8"/>
      <c r="CB484" s="8"/>
      <c r="CC484" s="8"/>
      <c r="CD484" s="8"/>
      <c r="CE484" s="8"/>
      <c r="CF484" s="8"/>
      <c r="CG484" s="9"/>
      <c r="CH484" s="8"/>
      <c r="CI484" s="8"/>
      <c r="CJ484" s="8"/>
      <c r="CK484" s="8"/>
      <c r="CL484" s="8"/>
      <c r="CM484" s="8"/>
      <c r="CN484" s="8"/>
      <c r="CO484" s="8"/>
      <c r="CP484" s="8"/>
      <c r="CQ484" s="9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9"/>
      <c r="DG484" s="9"/>
      <c r="DH484" s="10"/>
      <c r="DI484" s="9"/>
      <c r="DJ484" s="9"/>
      <c r="DK484" s="3"/>
      <c r="DL484" s="3"/>
      <c r="DM484" s="3"/>
    </row>
    <row r="485" ht="11.25" customHeight="1">
      <c r="A485" s="3"/>
      <c r="B485" s="2"/>
      <c r="C485" s="3"/>
      <c r="D485" s="3"/>
      <c r="E485" s="3"/>
      <c r="F485" s="4"/>
      <c r="G485" s="4"/>
      <c r="H485" s="4"/>
      <c r="I485" s="5"/>
      <c r="J485" s="4"/>
      <c r="K485" s="4"/>
      <c r="L485" s="6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3"/>
      <c r="AL485" s="3"/>
      <c r="AM485" s="3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8"/>
      <c r="BU485" s="8"/>
      <c r="BV485" s="8"/>
      <c r="BW485" s="8"/>
      <c r="BX485" s="3"/>
      <c r="BY485" s="3"/>
      <c r="BZ485" s="3"/>
      <c r="CA485" s="8"/>
      <c r="CB485" s="8"/>
      <c r="CC485" s="8"/>
      <c r="CD485" s="8"/>
      <c r="CE485" s="8"/>
      <c r="CF485" s="8"/>
      <c r="CG485" s="9"/>
      <c r="CH485" s="8"/>
      <c r="CI485" s="8"/>
      <c r="CJ485" s="8"/>
      <c r="CK485" s="8"/>
      <c r="CL485" s="8"/>
      <c r="CM485" s="8"/>
      <c r="CN485" s="8"/>
      <c r="CO485" s="8"/>
      <c r="CP485" s="8"/>
      <c r="CQ485" s="9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9"/>
      <c r="DG485" s="9"/>
      <c r="DH485" s="10"/>
      <c r="DI485" s="9"/>
      <c r="DJ485" s="9"/>
      <c r="DK485" s="3"/>
      <c r="DL485" s="3"/>
      <c r="DM485" s="3"/>
    </row>
    <row r="486" ht="11.25" customHeight="1">
      <c r="A486" s="3"/>
      <c r="B486" s="2"/>
      <c r="C486" s="3"/>
      <c r="D486" s="3"/>
      <c r="E486" s="3"/>
      <c r="F486" s="4"/>
      <c r="G486" s="4"/>
      <c r="H486" s="4"/>
      <c r="I486" s="5"/>
      <c r="J486" s="4"/>
      <c r="K486" s="4"/>
      <c r="L486" s="6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3"/>
      <c r="AL486" s="3"/>
      <c r="AM486" s="3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8"/>
      <c r="BU486" s="8"/>
      <c r="BV486" s="8"/>
      <c r="BW486" s="8"/>
      <c r="BX486" s="3"/>
      <c r="BY486" s="3"/>
      <c r="BZ486" s="3"/>
      <c r="CA486" s="8"/>
      <c r="CB486" s="8"/>
      <c r="CC486" s="8"/>
      <c r="CD486" s="8"/>
      <c r="CE486" s="8"/>
      <c r="CF486" s="8"/>
      <c r="CG486" s="9"/>
      <c r="CH486" s="8"/>
      <c r="CI486" s="8"/>
      <c r="CJ486" s="8"/>
      <c r="CK486" s="8"/>
      <c r="CL486" s="8"/>
      <c r="CM486" s="8"/>
      <c r="CN486" s="8"/>
      <c r="CO486" s="8"/>
      <c r="CP486" s="8"/>
      <c r="CQ486" s="9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9"/>
      <c r="DG486" s="9"/>
      <c r="DH486" s="10"/>
      <c r="DI486" s="9"/>
      <c r="DJ486" s="9"/>
      <c r="DK486" s="3"/>
      <c r="DL486" s="3"/>
      <c r="DM486" s="3"/>
    </row>
    <row r="487" ht="11.25" customHeight="1">
      <c r="A487" s="3"/>
      <c r="B487" s="2"/>
      <c r="C487" s="3"/>
      <c r="D487" s="3"/>
      <c r="E487" s="3"/>
      <c r="F487" s="4"/>
      <c r="G487" s="4"/>
      <c r="H487" s="4"/>
      <c r="I487" s="5"/>
      <c r="J487" s="4"/>
      <c r="K487" s="4"/>
      <c r="L487" s="6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3"/>
      <c r="AL487" s="3"/>
      <c r="AM487" s="3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8"/>
      <c r="BU487" s="8"/>
      <c r="BV487" s="8"/>
      <c r="BW487" s="8"/>
      <c r="BX487" s="3"/>
      <c r="BY487" s="3"/>
      <c r="BZ487" s="3"/>
      <c r="CA487" s="8"/>
      <c r="CB487" s="8"/>
      <c r="CC487" s="8"/>
      <c r="CD487" s="8"/>
      <c r="CE487" s="8"/>
      <c r="CF487" s="8"/>
      <c r="CG487" s="9"/>
      <c r="CH487" s="8"/>
      <c r="CI487" s="8"/>
      <c r="CJ487" s="8"/>
      <c r="CK487" s="8"/>
      <c r="CL487" s="8"/>
      <c r="CM487" s="8"/>
      <c r="CN487" s="8"/>
      <c r="CO487" s="8"/>
      <c r="CP487" s="8"/>
      <c r="CQ487" s="9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9"/>
      <c r="DG487" s="9"/>
      <c r="DH487" s="10"/>
      <c r="DI487" s="9"/>
      <c r="DJ487" s="9"/>
      <c r="DK487" s="3"/>
      <c r="DL487" s="3"/>
      <c r="DM487" s="3"/>
    </row>
    <row r="488" ht="11.25" customHeight="1">
      <c r="A488" s="3"/>
      <c r="B488" s="2"/>
      <c r="C488" s="3"/>
      <c r="D488" s="3"/>
      <c r="E488" s="3"/>
      <c r="F488" s="4"/>
      <c r="G488" s="4"/>
      <c r="H488" s="4"/>
      <c r="I488" s="5"/>
      <c r="J488" s="4"/>
      <c r="K488" s="4"/>
      <c r="L488" s="6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3"/>
      <c r="AL488" s="3"/>
      <c r="AM488" s="3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8"/>
      <c r="BU488" s="8"/>
      <c r="BV488" s="8"/>
      <c r="BW488" s="8"/>
      <c r="BX488" s="3"/>
      <c r="BY488" s="3"/>
      <c r="BZ488" s="3"/>
      <c r="CA488" s="8"/>
      <c r="CB488" s="8"/>
      <c r="CC488" s="8"/>
      <c r="CD488" s="8"/>
      <c r="CE488" s="8"/>
      <c r="CF488" s="8"/>
      <c r="CG488" s="9"/>
      <c r="CH488" s="8"/>
      <c r="CI488" s="8"/>
      <c r="CJ488" s="8"/>
      <c r="CK488" s="8"/>
      <c r="CL488" s="8"/>
      <c r="CM488" s="8"/>
      <c r="CN488" s="8"/>
      <c r="CO488" s="8"/>
      <c r="CP488" s="8"/>
      <c r="CQ488" s="9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9"/>
      <c r="DG488" s="9"/>
      <c r="DH488" s="10"/>
      <c r="DI488" s="9"/>
      <c r="DJ488" s="9"/>
      <c r="DK488" s="3"/>
      <c r="DL488" s="3"/>
      <c r="DM488" s="3"/>
    </row>
    <row r="489" ht="11.25" customHeight="1">
      <c r="A489" s="3"/>
      <c r="B489" s="2"/>
      <c r="C489" s="3"/>
      <c r="D489" s="3"/>
      <c r="E489" s="3"/>
      <c r="F489" s="4"/>
      <c r="G489" s="4"/>
      <c r="H489" s="4"/>
      <c r="I489" s="5"/>
      <c r="J489" s="4"/>
      <c r="K489" s="4"/>
      <c r="L489" s="6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3"/>
      <c r="AL489" s="3"/>
      <c r="AM489" s="3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8"/>
      <c r="BU489" s="8"/>
      <c r="BV489" s="8"/>
      <c r="BW489" s="8"/>
      <c r="BX489" s="3"/>
      <c r="BY489" s="3"/>
      <c r="BZ489" s="3"/>
      <c r="CA489" s="8"/>
      <c r="CB489" s="8"/>
      <c r="CC489" s="8"/>
      <c r="CD489" s="8"/>
      <c r="CE489" s="8"/>
      <c r="CF489" s="8"/>
      <c r="CG489" s="9"/>
      <c r="CH489" s="8"/>
      <c r="CI489" s="8"/>
      <c r="CJ489" s="8"/>
      <c r="CK489" s="8"/>
      <c r="CL489" s="8"/>
      <c r="CM489" s="8"/>
      <c r="CN489" s="8"/>
      <c r="CO489" s="8"/>
      <c r="CP489" s="8"/>
      <c r="CQ489" s="9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9"/>
      <c r="DG489" s="9"/>
      <c r="DH489" s="10"/>
      <c r="DI489" s="9"/>
      <c r="DJ489" s="9"/>
      <c r="DK489" s="3"/>
      <c r="DL489" s="3"/>
      <c r="DM489" s="3"/>
    </row>
    <row r="490" ht="11.25" customHeight="1">
      <c r="A490" s="3"/>
      <c r="B490" s="2"/>
      <c r="C490" s="3"/>
      <c r="D490" s="3"/>
      <c r="E490" s="3"/>
      <c r="F490" s="4"/>
      <c r="G490" s="4"/>
      <c r="H490" s="4"/>
      <c r="I490" s="5"/>
      <c r="J490" s="4"/>
      <c r="K490" s="4"/>
      <c r="L490" s="6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3"/>
      <c r="AL490" s="3"/>
      <c r="AM490" s="3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8"/>
      <c r="BU490" s="8"/>
      <c r="BV490" s="8"/>
      <c r="BW490" s="8"/>
      <c r="BX490" s="3"/>
      <c r="BY490" s="3"/>
      <c r="BZ490" s="3"/>
      <c r="CA490" s="8"/>
      <c r="CB490" s="8"/>
      <c r="CC490" s="8"/>
      <c r="CD490" s="8"/>
      <c r="CE490" s="8"/>
      <c r="CF490" s="8"/>
      <c r="CG490" s="9"/>
      <c r="CH490" s="8"/>
      <c r="CI490" s="8"/>
      <c r="CJ490" s="8"/>
      <c r="CK490" s="8"/>
      <c r="CL490" s="8"/>
      <c r="CM490" s="8"/>
      <c r="CN490" s="8"/>
      <c r="CO490" s="8"/>
      <c r="CP490" s="8"/>
      <c r="CQ490" s="9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9"/>
      <c r="DG490" s="9"/>
      <c r="DH490" s="10"/>
      <c r="DI490" s="9"/>
      <c r="DJ490" s="9"/>
      <c r="DK490" s="3"/>
      <c r="DL490" s="3"/>
      <c r="DM490" s="3"/>
    </row>
    <row r="491" ht="11.25" customHeight="1">
      <c r="A491" s="3"/>
      <c r="B491" s="2"/>
      <c r="C491" s="3"/>
      <c r="D491" s="3"/>
      <c r="E491" s="3"/>
      <c r="F491" s="4"/>
      <c r="G491" s="4"/>
      <c r="H491" s="4"/>
      <c r="I491" s="5"/>
      <c r="J491" s="4"/>
      <c r="K491" s="4"/>
      <c r="L491" s="6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3"/>
      <c r="AL491" s="3"/>
      <c r="AM491" s="3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8"/>
      <c r="BU491" s="8"/>
      <c r="BV491" s="8"/>
      <c r="BW491" s="8"/>
      <c r="BX491" s="3"/>
      <c r="BY491" s="3"/>
      <c r="BZ491" s="3"/>
      <c r="CA491" s="8"/>
      <c r="CB491" s="8"/>
      <c r="CC491" s="8"/>
      <c r="CD491" s="8"/>
      <c r="CE491" s="8"/>
      <c r="CF491" s="8"/>
      <c r="CG491" s="9"/>
      <c r="CH491" s="8"/>
      <c r="CI491" s="8"/>
      <c r="CJ491" s="8"/>
      <c r="CK491" s="8"/>
      <c r="CL491" s="8"/>
      <c r="CM491" s="8"/>
      <c r="CN491" s="8"/>
      <c r="CO491" s="8"/>
      <c r="CP491" s="8"/>
      <c r="CQ491" s="9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9"/>
      <c r="DG491" s="9"/>
      <c r="DH491" s="10"/>
      <c r="DI491" s="9"/>
      <c r="DJ491" s="9"/>
      <c r="DK491" s="3"/>
      <c r="DL491" s="3"/>
      <c r="DM491" s="3"/>
    </row>
    <row r="492" ht="11.25" customHeight="1">
      <c r="A492" s="3"/>
      <c r="B492" s="2"/>
      <c r="C492" s="3"/>
      <c r="D492" s="3"/>
      <c r="E492" s="3"/>
      <c r="F492" s="4"/>
      <c r="G492" s="4"/>
      <c r="H492" s="4"/>
      <c r="I492" s="5"/>
      <c r="J492" s="4"/>
      <c r="K492" s="4"/>
      <c r="L492" s="6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3"/>
      <c r="AL492" s="3"/>
      <c r="AM492" s="3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8"/>
      <c r="BU492" s="8"/>
      <c r="BV492" s="8"/>
      <c r="BW492" s="8"/>
      <c r="BX492" s="3"/>
      <c r="BY492" s="3"/>
      <c r="BZ492" s="3"/>
      <c r="CA492" s="8"/>
      <c r="CB492" s="8"/>
      <c r="CC492" s="8"/>
      <c r="CD492" s="8"/>
      <c r="CE492" s="8"/>
      <c r="CF492" s="8"/>
      <c r="CG492" s="9"/>
      <c r="CH492" s="8"/>
      <c r="CI492" s="8"/>
      <c r="CJ492" s="8"/>
      <c r="CK492" s="8"/>
      <c r="CL492" s="8"/>
      <c r="CM492" s="8"/>
      <c r="CN492" s="8"/>
      <c r="CO492" s="8"/>
      <c r="CP492" s="8"/>
      <c r="CQ492" s="9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9"/>
      <c r="DG492" s="9"/>
      <c r="DH492" s="10"/>
      <c r="DI492" s="9"/>
      <c r="DJ492" s="9"/>
      <c r="DK492" s="3"/>
      <c r="DL492" s="3"/>
      <c r="DM492" s="3"/>
    </row>
    <row r="493" ht="11.25" customHeight="1">
      <c r="A493" s="3"/>
      <c r="B493" s="2"/>
      <c r="C493" s="3"/>
      <c r="D493" s="3"/>
      <c r="E493" s="3"/>
      <c r="F493" s="4"/>
      <c r="G493" s="4"/>
      <c r="H493" s="4"/>
      <c r="I493" s="5"/>
      <c r="J493" s="4"/>
      <c r="K493" s="4"/>
      <c r="L493" s="6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3"/>
      <c r="AL493" s="3"/>
      <c r="AM493" s="3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8"/>
      <c r="BU493" s="8"/>
      <c r="BV493" s="8"/>
      <c r="BW493" s="8"/>
      <c r="BX493" s="3"/>
      <c r="BY493" s="3"/>
      <c r="BZ493" s="3"/>
      <c r="CA493" s="8"/>
      <c r="CB493" s="8"/>
      <c r="CC493" s="8"/>
      <c r="CD493" s="8"/>
      <c r="CE493" s="8"/>
      <c r="CF493" s="8"/>
      <c r="CG493" s="9"/>
      <c r="CH493" s="8"/>
      <c r="CI493" s="8"/>
      <c r="CJ493" s="8"/>
      <c r="CK493" s="8"/>
      <c r="CL493" s="8"/>
      <c r="CM493" s="8"/>
      <c r="CN493" s="8"/>
      <c r="CO493" s="8"/>
      <c r="CP493" s="8"/>
      <c r="CQ493" s="9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9"/>
      <c r="DG493" s="9"/>
      <c r="DH493" s="10"/>
      <c r="DI493" s="9"/>
      <c r="DJ493" s="9"/>
      <c r="DK493" s="3"/>
      <c r="DL493" s="3"/>
      <c r="DM493" s="3"/>
    </row>
    <row r="494" ht="11.25" customHeight="1">
      <c r="A494" s="3"/>
      <c r="B494" s="2"/>
      <c r="C494" s="3"/>
      <c r="D494" s="3"/>
      <c r="E494" s="3"/>
      <c r="F494" s="4"/>
      <c r="G494" s="4"/>
      <c r="H494" s="4"/>
      <c r="I494" s="5"/>
      <c r="J494" s="4"/>
      <c r="K494" s="4"/>
      <c r="L494" s="6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3"/>
      <c r="AL494" s="3"/>
      <c r="AM494" s="3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8"/>
      <c r="BU494" s="8"/>
      <c r="BV494" s="8"/>
      <c r="BW494" s="8"/>
      <c r="BX494" s="3"/>
      <c r="BY494" s="3"/>
      <c r="BZ494" s="3"/>
      <c r="CA494" s="8"/>
      <c r="CB494" s="8"/>
      <c r="CC494" s="8"/>
      <c r="CD494" s="8"/>
      <c r="CE494" s="8"/>
      <c r="CF494" s="8"/>
      <c r="CG494" s="9"/>
      <c r="CH494" s="8"/>
      <c r="CI494" s="8"/>
      <c r="CJ494" s="8"/>
      <c r="CK494" s="8"/>
      <c r="CL494" s="8"/>
      <c r="CM494" s="8"/>
      <c r="CN494" s="8"/>
      <c r="CO494" s="8"/>
      <c r="CP494" s="8"/>
      <c r="CQ494" s="9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9"/>
      <c r="DG494" s="9"/>
      <c r="DH494" s="10"/>
      <c r="DI494" s="9"/>
      <c r="DJ494" s="9"/>
      <c r="DK494" s="3"/>
      <c r="DL494" s="3"/>
      <c r="DM494" s="3"/>
    </row>
    <row r="495" ht="11.25" customHeight="1">
      <c r="A495" s="3"/>
      <c r="B495" s="2"/>
      <c r="C495" s="3"/>
      <c r="D495" s="3"/>
      <c r="E495" s="3"/>
      <c r="F495" s="4"/>
      <c r="G495" s="4"/>
      <c r="H495" s="4"/>
      <c r="I495" s="5"/>
      <c r="J495" s="4"/>
      <c r="K495" s="4"/>
      <c r="L495" s="6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3"/>
      <c r="AL495" s="3"/>
      <c r="AM495" s="3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8"/>
      <c r="BU495" s="8"/>
      <c r="BV495" s="8"/>
      <c r="BW495" s="8"/>
      <c r="BX495" s="3"/>
      <c r="BY495" s="3"/>
      <c r="BZ495" s="3"/>
      <c r="CA495" s="8"/>
      <c r="CB495" s="8"/>
      <c r="CC495" s="8"/>
      <c r="CD495" s="8"/>
      <c r="CE495" s="8"/>
      <c r="CF495" s="8"/>
      <c r="CG495" s="9"/>
      <c r="CH495" s="8"/>
      <c r="CI495" s="8"/>
      <c r="CJ495" s="8"/>
      <c r="CK495" s="8"/>
      <c r="CL495" s="8"/>
      <c r="CM495" s="8"/>
      <c r="CN495" s="8"/>
      <c r="CO495" s="8"/>
      <c r="CP495" s="8"/>
      <c r="CQ495" s="9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9"/>
      <c r="DG495" s="9"/>
      <c r="DH495" s="10"/>
      <c r="DI495" s="9"/>
      <c r="DJ495" s="9"/>
      <c r="DK495" s="3"/>
      <c r="DL495" s="3"/>
      <c r="DM495" s="3"/>
    </row>
    <row r="496" ht="11.25" customHeight="1">
      <c r="A496" s="3"/>
      <c r="B496" s="2"/>
      <c r="C496" s="3"/>
      <c r="D496" s="3"/>
      <c r="E496" s="3"/>
      <c r="F496" s="4"/>
      <c r="G496" s="4"/>
      <c r="H496" s="4"/>
      <c r="I496" s="5"/>
      <c r="J496" s="4"/>
      <c r="K496" s="4"/>
      <c r="L496" s="6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3"/>
      <c r="AL496" s="3"/>
      <c r="AM496" s="3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8"/>
      <c r="BU496" s="8"/>
      <c r="BV496" s="8"/>
      <c r="BW496" s="8"/>
      <c r="BX496" s="3"/>
      <c r="BY496" s="3"/>
      <c r="BZ496" s="3"/>
      <c r="CA496" s="8"/>
      <c r="CB496" s="8"/>
      <c r="CC496" s="8"/>
      <c r="CD496" s="8"/>
      <c r="CE496" s="8"/>
      <c r="CF496" s="8"/>
      <c r="CG496" s="9"/>
      <c r="CH496" s="8"/>
      <c r="CI496" s="8"/>
      <c r="CJ496" s="8"/>
      <c r="CK496" s="8"/>
      <c r="CL496" s="8"/>
      <c r="CM496" s="8"/>
      <c r="CN496" s="8"/>
      <c r="CO496" s="8"/>
      <c r="CP496" s="8"/>
      <c r="CQ496" s="9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9"/>
      <c r="DG496" s="9"/>
      <c r="DH496" s="10"/>
      <c r="DI496" s="9"/>
      <c r="DJ496" s="9"/>
      <c r="DK496" s="3"/>
      <c r="DL496" s="3"/>
      <c r="DM496" s="3"/>
    </row>
    <row r="497" ht="11.25" customHeight="1">
      <c r="A497" s="3"/>
      <c r="B497" s="2"/>
      <c r="C497" s="3"/>
      <c r="D497" s="3"/>
      <c r="E497" s="3"/>
      <c r="F497" s="4"/>
      <c r="G497" s="4"/>
      <c r="H497" s="4"/>
      <c r="I497" s="5"/>
      <c r="J497" s="4"/>
      <c r="K497" s="4"/>
      <c r="L497" s="6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3"/>
      <c r="AL497" s="3"/>
      <c r="AM497" s="3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8"/>
      <c r="BU497" s="8"/>
      <c r="BV497" s="8"/>
      <c r="BW497" s="8"/>
      <c r="BX497" s="3"/>
      <c r="BY497" s="3"/>
      <c r="BZ497" s="3"/>
      <c r="CA497" s="8"/>
      <c r="CB497" s="8"/>
      <c r="CC497" s="8"/>
      <c r="CD497" s="8"/>
      <c r="CE497" s="8"/>
      <c r="CF497" s="8"/>
      <c r="CG497" s="9"/>
      <c r="CH497" s="8"/>
      <c r="CI497" s="8"/>
      <c r="CJ497" s="8"/>
      <c r="CK497" s="8"/>
      <c r="CL497" s="8"/>
      <c r="CM497" s="8"/>
      <c r="CN497" s="8"/>
      <c r="CO497" s="8"/>
      <c r="CP497" s="8"/>
      <c r="CQ497" s="9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9"/>
      <c r="DG497" s="9"/>
      <c r="DH497" s="10"/>
      <c r="DI497" s="9"/>
      <c r="DJ497" s="9"/>
      <c r="DK497" s="3"/>
      <c r="DL497" s="3"/>
      <c r="DM497" s="3"/>
    </row>
    <row r="498" ht="11.25" customHeight="1">
      <c r="A498" s="3"/>
      <c r="B498" s="2"/>
      <c r="C498" s="3"/>
      <c r="D498" s="3"/>
      <c r="E498" s="3"/>
      <c r="F498" s="4"/>
      <c r="G498" s="4"/>
      <c r="H498" s="4"/>
      <c r="I498" s="5"/>
      <c r="J498" s="4"/>
      <c r="K498" s="4"/>
      <c r="L498" s="6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3"/>
      <c r="AL498" s="3"/>
      <c r="AM498" s="3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8"/>
      <c r="BU498" s="8"/>
      <c r="BV498" s="8"/>
      <c r="BW498" s="8"/>
      <c r="BX498" s="3"/>
      <c r="BY498" s="3"/>
      <c r="BZ498" s="3"/>
      <c r="CA498" s="8"/>
      <c r="CB498" s="8"/>
      <c r="CC498" s="8"/>
      <c r="CD498" s="8"/>
      <c r="CE498" s="8"/>
      <c r="CF498" s="8"/>
      <c r="CG498" s="9"/>
      <c r="CH498" s="8"/>
      <c r="CI498" s="8"/>
      <c r="CJ498" s="8"/>
      <c r="CK498" s="8"/>
      <c r="CL498" s="8"/>
      <c r="CM498" s="8"/>
      <c r="CN498" s="8"/>
      <c r="CO498" s="8"/>
      <c r="CP498" s="8"/>
      <c r="CQ498" s="9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9"/>
      <c r="DG498" s="9"/>
      <c r="DH498" s="10"/>
      <c r="DI498" s="9"/>
      <c r="DJ498" s="9"/>
      <c r="DK498" s="3"/>
      <c r="DL498" s="3"/>
      <c r="DM498" s="3"/>
    </row>
    <row r="499" ht="11.25" customHeight="1">
      <c r="A499" s="3"/>
      <c r="B499" s="2"/>
      <c r="C499" s="3"/>
      <c r="D499" s="3"/>
      <c r="E499" s="3"/>
      <c r="F499" s="4"/>
      <c r="G499" s="4"/>
      <c r="H499" s="4"/>
      <c r="I499" s="5"/>
      <c r="J499" s="4"/>
      <c r="K499" s="4"/>
      <c r="L499" s="6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3"/>
      <c r="AL499" s="3"/>
      <c r="AM499" s="3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8"/>
      <c r="BU499" s="8"/>
      <c r="BV499" s="8"/>
      <c r="BW499" s="8"/>
      <c r="BX499" s="3"/>
      <c r="BY499" s="3"/>
      <c r="BZ499" s="3"/>
      <c r="CA499" s="8"/>
      <c r="CB499" s="8"/>
      <c r="CC499" s="8"/>
      <c r="CD499" s="8"/>
      <c r="CE499" s="8"/>
      <c r="CF499" s="8"/>
      <c r="CG499" s="9"/>
      <c r="CH499" s="8"/>
      <c r="CI499" s="8"/>
      <c r="CJ499" s="8"/>
      <c r="CK499" s="8"/>
      <c r="CL499" s="8"/>
      <c r="CM499" s="8"/>
      <c r="CN499" s="8"/>
      <c r="CO499" s="8"/>
      <c r="CP499" s="8"/>
      <c r="CQ499" s="9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9"/>
      <c r="DG499" s="9"/>
      <c r="DH499" s="10"/>
      <c r="DI499" s="9"/>
      <c r="DJ499" s="9"/>
      <c r="DK499" s="3"/>
      <c r="DL499" s="3"/>
      <c r="DM499" s="3"/>
    </row>
    <row r="500" ht="11.25" customHeight="1">
      <c r="A500" s="3"/>
      <c r="B500" s="2"/>
      <c r="C500" s="3"/>
      <c r="D500" s="3"/>
      <c r="E500" s="3"/>
      <c r="F500" s="4"/>
      <c r="G500" s="4"/>
      <c r="H500" s="4"/>
      <c r="I500" s="5"/>
      <c r="J500" s="4"/>
      <c r="K500" s="4"/>
      <c r="L500" s="6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3"/>
      <c r="AL500" s="3"/>
      <c r="AM500" s="3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8"/>
      <c r="BU500" s="8"/>
      <c r="BV500" s="8"/>
      <c r="BW500" s="8"/>
      <c r="BX500" s="3"/>
      <c r="BY500" s="3"/>
      <c r="BZ500" s="3"/>
      <c r="CA500" s="8"/>
      <c r="CB500" s="8"/>
      <c r="CC500" s="8"/>
      <c r="CD500" s="8"/>
      <c r="CE500" s="8"/>
      <c r="CF500" s="8"/>
      <c r="CG500" s="9"/>
      <c r="CH500" s="8"/>
      <c r="CI500" s="8"/>
      <c r="CJ500" s="8"/>
      <c r="CK500" s="8"/>
      <c r="CL500" s="8"/>
      <c r="CM500" s="8"/>
      <c r="CN500" s="8"/>
      <c r="CO500" s="8"/>
      <c r="CP500" s="8"/>
      <c r="CQ500" s="9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9"/>
      <c r="DG500" s="9"/>
      <c r="DH500" s="10"/>
      <c r="DI500" s="9"/>
      <c r="DJ500" s="9"/>
      <c r="DK500" s="3"/>
      <c r="DL500" s="3"/>
      <c r="DM500" s="3"/>
    </row>
    <row r="501" ht="11.25" customHeight="1">
      <c r="A501" s="3"/>
      <c r="B501" s="2"/>
      <c r="C501" s="3"/>
      <c r="D501" s="3"/>
      <c r="E501" s="3"/>
      <c r="F501" s="4"/>
      <c r="G501" s="4"/>
      <c r="H501" s="4"/>
      <c r="I501" s="5"/>
      <c r="J501" s="4"/>
      <c r="K501" s="4"/>
      <c r="L501" s="6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3"/>
      <c r="AL501" s="3"/>
      <c r="AM501" s="3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8"/>
      <c r="BU501" s="8"/>
      <c r="BV501" s="8"/>
      <c r="BW501" s="8"/>
      <c r="BX501" s="3"/>
      <c r="BY501" s="3"/>
      <c r="BZ501" s="3"/>
      <c r="CA501" s="8"/>
      <c r="CB501" s="8"/>
      <c r="CC501" s="8"/>
      <c r="CD501" s="8"/>
      <c r="CE501" s="8"/>
      <c r="CF501" s="8"/>
      <c r="CG501" s="9"/>
      <c r="CH501" s="8"/>
      <c r="CI501" s="8"/>
      <c r="CJ501" s="8"/>
      <c r="CK501" s="8"/>
      <c r="CL501" s="8"/>
      <c r="CM501" s="8"/>
      <c r="CN501" s="8"/>
      <c r="CO501" s="8"/>
      <c r="CP501" s="8"/>
      <c r="CQ501" s="9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9"/>
      <c r="DG501" s="9"/>
      <c r="DH501" s="10"/>
      <c r="DI501" s="9"/>
      <c r="DJ501" s="9"/>
      <c r="DK501" s="3"/>
      <c r="DL501" s="3"/>
      <c r="DM501" s="3"/>
    </row>
    <row r="502" ht="11.25" customHeight="1">
      <c r="A502" s="3"/>
      <c r="B502" s="2"/>
      <c r="C502" s="3"/>
      <c r="D502" s="3"/>
      <c r="E502" s="3"/>
      <c r="F502" s="4"/>
      <c r="G502" s="4"/>
      <c r="H502" s="4"/>
      <c r="I502" s="5"/>
      <c r="J502" s="4"/>
      <c r="K502" s="4"/>
      <c r="L502" s="6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3"/>
      <c r="AL502" s="3"/>
      <c r="AM502" s="3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8"/>
      <c r="BU502" s="8"/>
      <c r="BV502" s="8"/>
      <c r="BW502" s="8"/>
      <c r="BX502" s="3"/>
      <c r="BY502" s="3"/>
      <c r="BZ502" s="3"/>
      <c r="CA502" s="8"/>
      <c r="CB502" s="8"/>
      <c r="CC502" s="8"/>
      <c r="CD502" s="8"/>
      <c r="CE502" s="8"/>
      <c r="CF502" s="8"/>
      <c r="CG502" s="9"/>
      <c r="CH502" s="8"/>
      <c r="CI502" s="8"/>
      <c r="CJ502" s="8"/>
      <c r="CK502" s="8"/>
      <c r="CL502" s="8"/>
      <c r="CM502" s="8"/>
      <c r="CN502" s="8"/>
      <c r="CO502" s="8"/>
      <c r="CP502" s="8"/>
      <c r="CQ502" s="9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9"/>
      <c r="DG502" s="9"/>
      <c r="DH502" s="10"/>
      <c r="DI502" s="9"/>
      <c r="DJ502" s="9"/>
      <c r="DK502" s="3"/>
      <c r="DL502" s="3"/>
      <c r="DM502" s="3"/>
    </row>
    <row r="503" ht="11.25" customHeight="1">
      <c r="A503" s="3"/>
      <c r="B503" s="2"/>
      <c r="C503" s="3"/>
      <c r="D503" s="3"/>
      <c r="E503" s="3"/>
      <c r="F503" s="4"/>
      <c r="G503" s="4"/>
      <c r="H503" s="4"/>
      <c r="I503" s="5"/>
      <c r="J503" s="4"/>
      <c r="K503" s="4"/>
      <c r="L503" s="6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3"/>
      <c r="AL503" s="3"/>
      <c r="AM503" s="3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8"/>
      <c r="BU503" s="8"/>
      <c r="BV503" s="8"/>
      <c r="BW503" s="8"/>
      <c r="BX503" s="3"/>
      <c r="BY503" s="3"/>
      <c r="BZ503" s="3"/>
      <c r="CA503" s="8"/>
      <c r="CB503" s="8"/>
      <c r="CC503" s="8"/>
      <c r="CD503" s="8"/>
      <c r="CE503" s="8"/>
      <c r="CF503" s="8"/>
      <c r="CG503" s="9"/>
      <c r="CH503" s="8"/>
      <c r="CI503" s="8"/>
      <c r="CJ503" s="8"/>
      <c r="CK503" s="8"/>
      <c r="CL503" s="8"/>
      <c r="CM503" s="8"/>
      <c r="CN503" s="8"/>
      <c r="CO503" s="8"/>
      <c r="CP503" s="8"/>
      <c r="CQ503" s="9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9"/>
      <c r="DG503" s="9"/>
      <c r="DH503" s="10"/>
      <c r="DI503" s="9"/>
      <c r="DJ503" s="9"/>
      <c r="DK503" s="3"/>
      <c r="DL503" s="3"/>
      <c r="DM503" s="3"/>
    </row>
    <row r="504" ht="11.25" customHeight="1">
      <c r="A504" s="3"/>
      <c r="B504" s="2"/>
      <c r="C504" s="3"/>
      <c r="D504" s="3"/>
      <c r="E504" s="3"/>
      <c r="F504" s="4"/>
      <c r="G504" s="4"/>
      <c r="H504" s="4"/>
      <c r="I504" s="5"/>
      <c r="J504" s="4"/>
      <c r="K504" s="4"/>
      <c r="L504" s="6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3"/>
      <c r="AL504" s="3"/>
      <c r="AM504" s="3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8"/>
      <c r="BU504" s="8"/>
      <c r="BV504" s="8"/>
      <c r="BW504" s="8"/>
      <c r="BX504" s="3"/>
      <c r="BY504" s="3"/>
      <c r="BZ504" s="3"/>
      <c r="CA504" s="8"/>
      <c r="CB504" s="8"/>
      <c r="CC504" s="8"/>
      <c r="CD504" s="8"/>
      <c r="CE504" s="8"/>
      <c r="CF504" s="8"/>
      <c r="CG504" s="9"/>
      <c r="CH504" s="8"/>
      <c r="CI504" s="8"/>
      <c r="CJ504" s="8"/>
      <c r="CK504" s="8"/>
      <c r="CL504" s="8"/>
      <c r="CM504" s="8"/>
      <c r="CN504" s="8"/>
      <c r="CO504" s="8"/>
      <c r="CP504" s="8"/>
      <c r="CQ504" s="9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9"/>
      <c r="DG504" s="9"/>
      <c r="DH504" s="10"/>
      <c r="DI504" s="9"/>
      <c r="DJ504" s="9"/>
      <c r="DK504" s="3"/>
      <c r="DL504" s="3"/>
      <c r="DM504" s="3"/>
    </row>
    <row r="505" ht="11.25" customHeight="1">
      <c r="A505" s="3"/>
      <c r="B505" s="2"/>
      <c r="C505" s="3"/>
      <c r="D505" s="3"/>
      <c r="E505" s="3"/>
      <c r="F505" s="4"/>
      <c r="G505" s="4"/>
      <c r="H505" s="4"/>
      <c r="I505" s="5"/>
      <c r="J505" s="4"/>
      <c r="K505" s="4"/>
      <c r="L505" s="6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3"/>
      <c r="AL505" s="3"/>
      <c r="AM505" s="3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8"/>
      <c r="BU505" s="8"/>
      <c r="BV505" s="8"/>
      <c r="BW505" s="8"/>
      <c r="BX505" s="3"/>
      <c r="BY505" s="3"/>
      <c r="BZ505" s="3"/>
      <c r="CA505" s="8"/>
      <c r="CB505" s="8"/>
      <c r="CC505" s="8"/>
      <c r="CD505" s="8"/>
      <c r="CE505" s="8"/>
      <c r="CF505" s="8"/>
      <c r="CG505" s="9"/>
      <c r="CH505" s="8"/>
      <c r="CI505" s="8"/>
      <c r="CJ505" s="8"/>
      <c r="CK505" s="8"/>
      <c r="CL505" s="8"/>
      <c r="CM505" s="8"/>
      <c r="CN505" s="8"/>
      <c r="CO505" s="8"/>
      <c r="CP505" s="8"/>
      <c r="CQ505" s="9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9"/>
      <c r="DG505" s="9"/>
      <c r="DH505" s="10"/>
      <c r="DI505" s="9"/>
      <c r="DJ505" s="9"/>
      <c r="DK505" s="3"/>
      <c r="DL505" s="3"/>
      <c r="DM505" s="3"/>
    </row>
    <row r="506" ht="11.25" customHeight="1">
      <c r="A506" s="3"/>
      <c r="B506" s="2"/>
      <c r="C506" s="3"/>
      <c r="D506" s="3"/>
      <c r="E506" s="3"/>
      <c r="F506" s="4"/>
      <c r="G506" s="4"/>
      <c r="H506" s="4"/>
      <c r="I506" s="5"/>
      <c r="J506" s="4"/>
      <c r="K506" s="4"/>
      <c r="L506" s="6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3"/>
      <c r="AL506" s="3"/>
      <c r="AM506" s="3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8"/>
      <c r="BU506" s="8"/>
      <c r="BV506" s="8"/>
      <c r="BW506" s="8"/>
      <c r="BX506" s="3"/>
      <c r="BY506" s="3"/>
      <c r="BZ506" s="3"/>
      <c r="CA506" s="8"/>
      <c r="CB506" s="8"/>
      <c r="CC506" s="8"/>
      <c r="CD506" s="8"/>
      <c r="CE506" s="8"/>
      <c r="CF506" s="8"/>
      <c r="CG506" s="9"/>
      <c r="CH506" s="8"/>
      <c r="CI506" s="8"/>
      <c r="CJ506" s="8"/>
      <c r="CK506" s="8"/>
      <c r="CL506" s="8"/>
      <c r="CM506" s="8"/>
      <c r="CN506" s="8"/>
      <c r="CO506" s="8"/>
      <c r="CP506" s="8"/>
      <c r="CQ506" s="9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9"/>
      <c r="DG506" s="9"/>
      <c r="DH506" s="10"/>
      <c r="DI506" s="9"/>
      <c r="DJ506" s="9"/>
      <c r="DK506" s="3"/>
      <c r="DL506" s="3"/>
      <c r="DM506" s="3"/>
    </row>
    <row r="507" ht="11.25" customHeight="1">
      <c r="A507" s="3"/>
      <c r="B507" s="2"/>
      <c r="C507" s="3"/>
      <c r="D507" s="3"/>
      <c r="E507" s="3"/>
      <c r="F507" s="4"/>
      <c r="G507" s="4"/>
      <c r="H507" s="4"/>
      <c r="I507" s="5"/>
      <c r="J507" s="4"/>
      <c r="K507" s="4"/>
      <c r="L507" s="6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3"/>
      <c r="AL507" s="3"/>
      <c r="AM507" s="3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8"/>
      <c r="BU507" s="8"/>
      <c r="BV507" s="8"/>
      <c r="BW507" s="8"/>
      <c r="BX507" s="3"/>
      <c r="BY507" s="3"/>
      <c r="BZ507" s="3"/>
      <c r="CA507" s="8"/>
      <c r="CB507" s="8"/>
      <c r="CC507" s="8"/>
      <c r="CD507" s="8"/>
      <c r="CE507" s="8"/>
      <c r="CF507" s="8"/>
      <c r="CG507" s="9"/>
      <c r="CH507" s="8"/>
      <c r="CI507" s="8"/>
      <c r="CJ507" s="8"/>
      <c r="CK507" s="8"/>
      <c r="CL507" s="8"/>
      <c r="CM507" s="8"/>
      <c r="CN507" s="8"/>
      <c r="CO507" s="8"/>
      <c r="CP507" s="8"/>
      <c r="CQ507" s="9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9"/>
      <c r="DG507" s="9"/>
      <c r="DH507" s="10"/>
      <c r="DI507" s="9"/>
      <c r="DJ507" s="9"/>
      <c r="DK507" s="3"/>
      <c r="DL507" s="3"/>
      <c r="DM507" s="3"/>
    </row>
    <row r="508" ht="11.25" customHeight="1">
      <c r="A508" s="3"/>
      <c r="B508" s="2"/>
      <c r="C508" s="3"/>
      <c r="D508" s="3"/>
      <c r="E508" s="3"/>
      <c r="F508" s="4"/>
      <c r="G508" s="4"/>
      <c r="H508" s="4"/>
      <c r="I508" s="5"/>
      <c r="J508" s="4"/>
      <c r="K508" s="4"/>
      <c r="L508" s="6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3"/>
      <c r="AL508" s="3"/>
      <c r="AM508" s="3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8"/>
      <c r="BU508" s="8"/>
      <c r="BV508" s="8"/>
      <c r="BW508" s="8"/>
      <c r="BX508" s="3"/>
      <c r="BY508" s="3"/>
      <c r="BZ508" s="3"/>
      <c r="CA508" s="8"/>
      <c r="CB508" s="8"/>
      <c r="CC508" s="8"/>
      <c r="CD508" s="8"/>
      <c r="CE508" s="8"/>
      <c r="CF508" s="8"/>
      <c r="CG508" s="9"/>
      <c r="CH508" s="8"/>
      <c r="CI508" s="8"/>
      <c r="CJ508" s="8"/>
      <c r="CK508" s="8"/>
      <c r="CL508" s="8"/>
      <c r="CM508" s="8"/>
      <c r="CN508" s="8"/>
      <c r="CO508" s="8"/>
      <c r="CP508" s="8"/>
      <c r="CQ508" s="9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9"/>
      <c r="DG508" s="9"/>
      <c r="DH508" s="10"/>
      <c r="DI508" s="9"/>
      <c r="DJ508" s="9"/>
      <c r="DK508" s="3"/>
      <c r="DL508" s="3"/>
      <c r="DM508" s="3"/>
    </row>
    <row r="509" ht="11.25" customHeight="1">
      <c r="A509" s="3"/>
      <c r="B509" s="2"/>
      <c r="C509" s="3"/>
      <c r="D509" s="3"/>
      <c r="E509" s="3"/>
      <c r="F509" s="4"/>
      <c r="G509" s="4"/>
      <c r="H509" s="4"/>
      <c r="I509" s="5"/>
      <c r="J509" s="4"/>
      <c r="K509" s="4"/>
      <c r="L509" s="6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3"/>
      <c r="AL509" s="3"/>
      <c r="AM509" s="3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8"/>
      <c r="BU509" s="8"/>
      <c r="BV509" s="8"/>
      <c r="BW509" s="8"/>
      <c r="BX509" s="3"/>
      <c r="BY509" s="3"/>
      <c r="BZ509" s="3"/>
      <c r="CA509" s="8"/>
      <c r="CB509" s="8"/>
      <c r="CC509" s="8"/>
      <c r="CD509" s="8"/>
      <c r="CE509" s="8"/>
      <c r="CF509" s="8"/>
      <c r="CG509" s="9"/>
      <c r="CH509" s="8"/>
      <c r="CI509" s="8"/>
      <c r="CJ509" s="8"/>
      <c r="CK509" s="8"/>
      <c r="CL509" s="8"/>
      <c r="CM509" s="8"/>
      <c r="CN509" s="8"/>
      <c r="CO509" s="8"/>
      <c r="CP509" s="8"/>
      <c r="CQ509" s="9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9"/>
      <c r="DG509" s="9"/>
      <c r="DH509" s="10"/>
      <c r="DI509" s="9"/>
      <c r="DJ509" s="9"/>
      <c r="DK509" s="3"/>
      <c r="DL509" s="3"/>
      <c r="DM509" s="3"/>
    </row>
    <row r="510" ht="11.25" customHeight="1">
      <c r="A510" s="3"/>
      <c r="B510" s="2"/>
      <c r="C510" s="3"/>
      <c r="D510" s="3"/>
      <c r="E510" s="3"/>
      <c r="F510" s="4"/>
      <c r="G510" s="4"/>
      <c r="H510" s="4"/>
      <c r="I510" s="5"/>
      <c r="J510" s="4"/>
      <c r="K510" s="4"/>
      <c r="L510" s="6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3"/>
      <c r="AL510" s="3"/>
      <c r="AM510" s="3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8"/>
      <c r="BU510" s="8"/>
      <c r="BV510" s="8"/>
      <c r="BW510" s="8"/>
      <c r="BX510" s="3"/>
      <c r="BY510" s="3"/>
      <c r="BZ510" s="3"/>
      <c r="CA510" s="8"/>
      <c r="CB510" s="8"/>
      <c r="CC510" s="8"/>
      <c r="CD510" s="8"/>
      <c r="CE510" s="8"/>
      <c r="CF510" s="8"/>
      <c r="CG510" s="9"/>
      <c r="CH510" s="8"/>
      <c r="CI510" s="8"/>
      <c r="CJ510" s="8"/>
      <c r="CK510" s="8"/>
      <c r="CL510" s="8"/>
      <c r="CM510" s="8"/>
      <c r="CN510" s="8"/>
      <c r="CO510" s="8"/>
      <c r="CP510" s="8"/>
      <c r="CQ510" s="9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9"/>
      <c r="DG510" s="9"/>
      <c r="DH510" s="10"/>
      <c r="DI510" s="9"/>
      <c r="DJ510" s="9"/>
      <c r="DK510" s="3"/>
      <c r="DL510" s="3"/>
      <c r="DM510" s="3"/>
    </row>
    <row r="511" ht="11.25" customHeight="1">
      <c r="A511" s="3"/>
      <c r="B511" s="2"/>
      <c r="C511" s="3"/>
      <c r="D511" s="3"/>
      <c r="E511" s="3"/>
      <c r="F511" s="4"/>
      <c r="G511" s="4"/>
      <c r="H511" s="4"/>
      <c r="I511" s="5"/>
      <c r="J511" s="4"/>
      <c r="K511" s="4"/>
      <c r="L511" s="6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3"/>
      <c r="AL511" s="3"/>
      <c r="AM511" s="3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8"/>
      <c r="BU511" s="8"/>
      <c r="BV511" s="8"/>
      <c r="BW511" s="8"/>
      <c r="BX511" s="3"/>
      <c r="BY511" s="3"/>
      <c r="BZ511" s="3"/>
      <c r="CA511" s="8"/>
      <c r="CB511" s="8"/>
      <c r="CC511" s="8"/>
      <c r="CD511" s="8"/>
      <c r="CE511" s="8"/>
      <c r="CF511" s="8"/>
      <c r="CG511" s="9"/>
      <c r="CH511" s="8"/>
      <c r="CI511" s="8"/>
      <c r="CJ511" s="8"/>
      <c r="CK511" s="8"/>
      <c r="CL511" s="8"/>
      <c r="CM511" s="8"/>
      <c r="CN511" s="8"/>
      <c r="CO511" s="8"/>
      <c r="CP511" s="8"/>
      <c r="CQ511" s="9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9"/>
      <c r="DG511" s="9"/>
      <c r="DH511" s="10"/>
      <c r="DI511" s="9"/>
      <c r="DJ511" s="9"/>
      <c r="DK511" s="3"/>
      <c r="DL511" s="3"/>
      <c r="DM511" s="3"/>
    </row>
    <row r="512" ht="11.25" customHeight="1">
      <c r="A512" s="3"/>
      <c r="B512" s="2"/>
      <c r="C512" s="3"/>
      <c r="D512" s="3"/>
      <c r="E512" s="3"/>
      <c r="F512" s="4"/>
      <c r="G512" s="4"/>
      <c r="H512" s="4"/>
      <c r="I512" s="5"/>
      <c r="J512" s="4"/>
      <c r="K512" s="4"/>
      <c r="L512" s="6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3"/>
      <c r="AL512" s="3"/>
      <c r="AM512" s="3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8"/>
      <c r="BU512" s="8"/>
      <c r="BV512" s="8"/>
      <c r="BW512" s="8"/>
      <c r="BX512" s="3"/>
      <c r="BY512" s="3"/>
      <c r="BZ512" s="3"/>
      <c r="CA512" s="8"/>
      <c r="CB512" s="8"/>
      <c r="CC512" s="8"/>
      <c r="CD512" s="8"/>
      <c r="CE512" s="8"/>
      <c r="CF512" s="8"/>
      <c r="CG512" s="9"/>
      <c r="CH512" s="8"/>
      <c r="CI512" s="8"/>
      <c r="CJ512" s="8"/>
      <c r="CK512" s="8"/>
      <c r="CL512" s="8"/>
      <c r="CM512" s="8"/>
      <c r="CN512" s="8"/>
      <c r="CO512" s="8"/>
      <c r="CP512" s="8"/>
      <c r="CQ512" s="9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9"/>
      <c r="DG512" s="9"/>
      <c r="DH512" s="10"/>
      <c r="DI512" s="9"/>
      <c r="DJ512" s="9"/>
      <c r="DK512" s="3"/>
      <c r="DL512" s="3"/>
      <c r="DM512" s="3"/>
    </row>
    <row r="513" ht="11.25" customHeight="1">
      <c r="A513" s="3"/>
      <c r="B513" s="2"/>
      <c r="C513" s="3"/>
      <c r="D513" s="3"/>
      <c r="E513" s="3"/>
      <c r="F513" s="4"/>
      <c r="G513" s="4"/>
      <c r="H513" s="4"/>
      <c r="I513" s="5"/>
      <c r="J513" s="4"/>
      <c r="K513" s="4"/>
      <c r="L513" s="6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3"/>
      <c r="AL513" s="3"/>
      <c r="AM513" s="3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8"/>
      <c r="BU513" s="8"/>
      <c r="BV513" s="8"/>
      <c r="BW513" s="8"/>
      <c r="BX513" s="3"/>
      <c r="BY513" s="3"/>
      <c r="BZ513" s="3"/>
      <c r="CA513" s="8"/>
      <c r="CB513" s="8"/>
      <c r="CC513" s="8"/>
      <c r="CD513" s="8"/>
      <c r="CE513" s="8"/>
      <c r="CF513" s="8"/>
      <c r="CG513" s="9"/>
      <c r="CH513" s="8"/>
      <c r="CI513" s="8"/>
      <c r="CJ513" s="8"/>
      <c r="CK513" s="8"/>
      <c r="CL513" s="8"/>
      <c r="CM513" s="8"/>
      <c r="CN513" s="8"/>
      <c r="CO513" s="8"/>
      <c r="CP513" s="8"/>
      <c r="CQ513" s="9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9"/>
      <c r="DG513" s="9"/>
      <c r="DH513" s="10"/>
      <c r="DI513" s="9"/>
      <c r="DJ513" s="9"/>
      <c r="DK513" s="3"/>
      <c r="DL513" s="3"/>
      <c r="DM513" s="3"/>
    </row>
    <row r="514" ht="11.25" customHeight="1">
      <c r="A514" s="3"/>
      <c r="B514" s="2"/>
      <c r="C514" s="3"/>
      <c r="D514" s="3"/>
      <c r="E514" s="3"/>
      <c r="F514" s="4"/>
      <c r="G514" s="4"/>
      <c r="H514" s="4"/>
      <c r="I514" s="5"/>
      <c r="J514" s="4"/>
      <c r="K514" s="4"/>
      <c r="L514" s="6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3"/>
      <c r="AL514" s="3"/>
      <c r="AM514" s="3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8"/>
      <c r="BU514" s="8"/>
      <c r="BV514" s="8"/>
      <c r="BW514" s="8"/>
      <c r="BX514" s="3"/>
      <c r="BY514" s="3"/>
      <c r="BZ514" s="3"/>
      <c r="CA514" s="8"/>
      <c r="CB514" s="8"/>
      <c r="CC514" s="8"/>
      <c r="CD514" s="8"/>
      <c r="CE514" s="8"/>
      <c r="CF514" s="8"/>
      <c r="CG514" s="9"/>
      <c r="CH514" s="8"/>
      <c r="CI514" s="8"/>
      <c r="CJ514" s="8"/>
      <c r="CK514" s="8"/>
      <c r="CL514" s="8"/>
      <c r="CM514" s="8"/>
      <c r="CN514" s="8"/>
      <c r="CO514" s="8"/>
      <c r="CP514" s="8"/>
      <c r="CQ514" s="9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9"/>
      <c r="DG514" s="9"/>
      <c r="DH514" s="10"/>
      <c r="DI514" s="9"/>
      <c r="DJ514" s="9"/>
      <c r="DK514" s="3"/>
      <c r="DL514" s="3"/>
      <c r="DM514" s="3"/>
    </row>
    <row r="515" ht="11.25" customHeight="1">
      <c r="A515" s="3"/>
      <c r="B515" s="2"/>
      <c r="C515" s="3"/>
      <c r="D515" s="3"/>
      <c r="E515" s="3"/>
      <c r="F515" s="4"/>
      <c r="G515" s="4"/>
      <c r="H515" s="4"/>
      <c r="I515" s="5"/>
      <c r="J515" s="4"/>
      <c r="K515" s="4"/>
      <c r="L515" s="6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3"/>
      <c r="AL515" s="3"/>
      <c r="AM515" s="3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8"/>
      <c r="BU515" s="8"/>
      <c r="BV515" s="8"/>
      <c r="BW515" s="8"/>
      <c r="BX515" s="3"/>
      <c r="BY515" s="3"/>
      <c r="BZ515" s="3"/>
      <c r="CA515" s="8"/>
      <c r="CB515" s="8"/>
      <c r="CC515" s="8"/>
      <c r="CD515" s="8"/>
      <c r="CE515" s="8"/>
      <c r="CF515" s="8"/>
      <c r="CG515" s="9"/>
      <c r="CH515" s="8"/>
      <c r="CI515" s="8"/>
      <c r="CJ515" s="8"/>
      <c r="CK515" s="8"/>
      <c r="CL515" s="8"/>
      <c r="CM515" s="8"/>
      <c r="CN515" s="8"/>
      <c r="CO515" s="8"/>
      <c r="CP515" s="8"/>
      <c r="CQ515" s="9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9"/>
      <c r="DG515" s="9"/>
      <c r="DH515" s="10"/>
      <c r="DI515" s="9"/>
      <c r="DJ515" s="9"/>
      <c r="DK515" s="3"/>
      <c r="DL515" s="3"/>
      <c r="DM515" s="3"/>
    </row>
    <row r="516" ht="11.25" customHeight="1">
      <c r="A516" s="3"/>
      <c r="B516" s="2"/>
      <c r="C516" s="3"/>
      <c r="D516" s="3"/>
      <c r="E516" s="3"/>
      <c r="F516" s="4"/>
      <c r="G516" s="4"/>
      <c r="H516" s="4"/>
      <c r="I516" s="5"/>
      <c r="J516" s="4"/>
      <c r="K516" s="4"/>
      <c r="L516" s="6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3"/>
      <c r="AL516" s="3"/>
      <c r="AM516" s="3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8"/>
      <c r="BU516" s="8"/>
      <c r="BV516" s="8"/>
      <c r="BW516" s="8"/>
      <c r="BX516" s="3"/>
      <c r="BY516" s="3"/>
      <c r="BZ516" s="3"/>
      <c r="CA516" s="8"/>
      <c r="CB516" s="8"/>
      <c r="CC516" s="8"/>
      <c r="CD516" s="8"/>
      <c r="CE516" s="8"/>
      <c r="CF516" s="8"/>
      <c r="CG516" s="9"/>
      <c r="CH516" s="8"/>
      <c r="CI516" s="8"/>
      <c r="CJ516" s="8"/>
      <c r="CK516" s="8"/>
      <c r="CL516" s="8"/>
      <c r="CM516" s="8"/>
      <c r="CN516" s="8"/>
      <c r="CO516" s="8"/>
      <c r="CP516" s="8"/>
      <c r="CQ516" s="9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9"/>
      <c r="DG516" s="9"/>
      <c r="DH516" s="10"/>
      <c r="DI516" s="9"/>
      <c r="DJ516" s="9"/>
      <c r="DK516" s="3"/>
      <c r="DL516" s="3"/>
      <c r="DM516" s="3"/>
    </row>
    <row r="517" ht="11.25" customHeight="1">
      <c r="A517" s="3"/>
      <c r="B517" s="2"/>
      <c r="C517" s="3"/>
      <c r="D517" s="3"/>
      <c r="E517" s="3"/>
      <c r="F517" s="4"/>
      <c r="G517" s="4"/>
      <c r="H517" s="4"/>
      <c r="I517" s="5"/>
      <c r="J517" s="4"/>
      <c r="K517" s="4"/>
      <c r="L517" s="6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3"/>
      <c r="AL517" s="3"/>
      <c r="AM517" s="3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8"/>
      <c r="BU517" s="8"/>
      <c r="BV517" s="8"/>
      <c r="BW517" s="8"/>
      <c r="BX517" s="3"/>
      <c r="BY517" s="3"/>
      <c r="BZ517" s="3"/>
      <c r="CA517" s="8"/>
      <c r="CB517" s="8"/>
      <c r="CC517" s="8"/>
      <c r="CD517" s="8"/>
      <c r="CE517" s="8"/>
      <c r="CF517" s="8"/>
      <c r="CG517" s="9"/>
      <c r="CH517" s="8"/>
      <c r="CI517" s="8"/>
      <c r="CJ517" s="8"/>
      <c r="CK517" s="8"/>
      <c r="CL517" s="8"/>
      <c r="CM517" s="8"/>
      <c r="CN517" s="8"/>
      <c r="CO517" s="8"/>
      <c r="CP517" s="8"/>
      <c r="CQ517" s="9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9"/>
      <c r="DG517" s="9"/>
      <c r="DH517" s="10"/>
      <c r="DI517" s="9"/>
      <c r="DJ517" s="9"/>
      <c r="DK517" s="3"/>
      <c r="DL517" s="3"/>
      <c r="DM517" s="3"/>
    </row>
    <row r="518" ht="11.25" customHeight="1">
      <c r="A518" s="3"/>
      <c r="B518" s="2"/>
      <c r="C518" s="3"/>
      <c r="D518" s="3"/>
      <c r="E518" s="3"/>
      <c r="F518" s="4"/>
      <c r="G518" s="4"/>
      <c r="H518" s="4"/>
      <c r="I518" s="5"/>
      <c r="J518" s="4"/>
      <c r="K518" s="4"/>
      <c r="L518" s="6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3"/>
      <c r="AL518" s="3"/>
      <c r="AM518" s="3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8"/>
      <c r="BU518" s="8"/>
      <c r="BV518" s="8"/>
      <c r="BW518" s="8"/>
      <c r="BX518" s="3"/>
      <c r="BY518" s="3"/>
      <c r="BZ518" s="3"/>
      <c r="CA518" s="8"/>
      <c r="CB518" s="8"/>
      <c r="CC518" s="8"/>
      <c r="CD518" s="8"/>
      <c r="CE518" s="8"/>
      <c r="CF518" s="8"/>
      <c r="CG518" s="9"/>
      <c r="CH518" s="8"/>
      <c r="CI518" s="8"/>
      <c r="CJ518" s="8"/>
      <c r="CK518" s="8"/>
      <c r="CL518" s="8"/>
      <c r="CM518" s="8"/>
      <c r="CN518" s="8"/>
      <c r="CO518" s="8"/>
      <c r="CP518" s="8"/>
      <c r="CQ518" s="9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9"/>
      <c r="DG518" s="9"/>
      <c r="DH518" s="10"/>
      <c r="DI518" s="9"/>
      <c r="DJ518" s="9"/>
      <c r="DK518" s="3"/>
      <c r="DL518" s="3"/>
      <c r="DM518" s="3"/>
    </row>
    <row r="519" ht="11.25" customHeight="1">
      <c r="A519" s="3"/>
      <c r="B519" s="2"/>
      <c r="C519" s="3"/>
      <c r="D519" s="3"/>
      <c r="E519" s="3"/>
      <c r="F519" s="4"/>
      <c r="G519" s="4"/>
      <c r="H519" s="4"/>
      <c r="I519" s="5"/>
      <c r="J519" s="4"/>
      <c r="K519" s="4"/>
      <c r="L519" s="6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3"/>
      <c r="AL519" s="3"/>
      <c r="AM519" s="3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8"/>
      <c r="BU519" s="8"/>
      <c r="BV519" s="8"/>
      <c r="BW519" s="8"/>
      <c r="BX519" s="3"/>
      <c r="BY519" s="3"/>
      <c r="BZ519" s="3"/>
      <c r="CA519" s="8"/>
      <c r="CB519" s="8"/>
      <c r="CC519" s="8"/>
      <c r="CD519" s="8"/>
      <c r="CE519" s="8"/>
      <c r="CF519" s="8"/>
      <c r="CG519" s="9"/>
      <c r="CH519" s="8"/>
      <c r="CI519" s="8"/>
      <c r="CJ519" s="8"/>
      <c r="CK519" s="8"/>
      <c r="CL519" s="8"/>
      <c r="CM519" s="8"/>
      <c r="CN519" s="8"/>
      <c r="CO519" s="8"/>
      <c r="CP519" s="8"/>
      <c r="CQ519" s="9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9"/>
      <c r="DG519" s="9"/>
      <c r="DH519" s="10"/>
      <c r="DI519" s="9"/>
      <c r="DJ519" s="9"/>
      <c r="DK519" s="3"/>
      <c r="DL519" s="3"/>
      <c r="DM519" s="3"/>
    </row>
    <row r="520" ht="11.25" customHeight="1">
      <c r="A520" s="3"/>
      <c r="B520" s="2"/>
      <c r="C520" s="3"/>
      <c r="D520" s="3"/>
      <c r="E520" s="3"/>
      <c r="F520" s="4"/>
      <c r="G520" s="4"/>
      <c r="H520" s="4"/>
      <c r="I520" s="5"/>
      <c r="J520" s="4"/>
      <c r="K520" s="4"/>
      <c r="L520" s="6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3"/>
      <c r="AL520" s="3"/>
      <c r="AM520" s="3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8"/>
      <c r="BU520" s="8"/>
      <c r="BV520" s="8"/>
      <c r="BW520" s="8"/>
      <c r="BX520" s="3"/>
      <c r="BY520" s="3"/>
      <c r="BZ520" s="3"/>
      <c r="CA520" s="8"/>
      <c r="CB520" s="8"/>
      <c r="CC520" s="8"/>
      <c r="CD520" s="8"/>
      <c r="CE520" s="8"/>
      <c r="CF520" s="8"/>
      <c r="CG520" s="9"/>
      <c r="CH520" s="8"/>
      <c r="CI520" s="8"/>
      <c r="CJ520" s="8"/>
      <c r="CK520" s="8"/>
      <c r="CL520" s="8"/>
      <c r="CM520" s="8"/>
      <c r="CN520" s="8"/>
      <c r="CO520" s="8"/>
      <c r="CP520" s="8"/>
      <c r="CQ520" s="9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9"/>
      <c r="DG520" s="9"/>
      <c r="DH520" s="10"/>
      <c r="DI520" s="9"/>
      <c r="DJ520" s="9"/>
      <c r="DK520" s="3"/>
      <c r="DL520" s="3"/>
      <c r="DM520" s="3"/>
    </row>
    <row r="521" ht="11.25" customHeight="1">
      <c r="A521" s="3"/>
      <c r="B521" s="2"/>
      <c r="C521" s="3"/>
      <c r="D521" s="3"/>
      <c r="E521" s="3"/>
      <c r="F521" s="4"/>
      <c r="G521" s="4"/>
      <c r="H521" s="4"/>
      <c r="I521" s="5"/>
      <c r="J521" s="4"/>
      <c r="K521" s="4"/>
      <c r="L521" s="6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3"/>
      <c r="AL521" s="3"/>
      <c r="AM521" s="3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8"/>
      <c r="BU521" s="8"/>
      <c r="BV521" s="8"/>
      <c r="BW521" s="8"/>
      <c r="BX521" s="3"/>
      <c r="BY521" s="3"/>
      <c r="BZ521" s="3"/>
      <c r="CA521" s="8"/>
      <c r="CB521" s="8"/>
      <c r="CC521" s="8"/>
      <c r="CD521" s="8"/>
      <c r="CE521" s="8"/>
      <c r="CF521" s="8"/>
      <c r="CG521" s="9"/>
      <c r="CH521" s="8"/>
      <c r="CI521" s="8"/>
      <c r="CJ521" s="8"/>
      <c r="CK521" s="8"/>
      <c r="CL521" s="8"/>
      <c r="CM521" s="8"/>
      <c r="CN521" s="8"/>
      <c r="CO521" s="8"/>
      <c r="CP521" s="8"/>
      <c r="CQ521" s="9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9"/>
      <c r="DG521" s="9"/>
      <c r="DH521" s="10"/>
      <c r="DI521" s="9"/>
      <c r="DJ521" s="9"/>
      <c r="DK521" s="3"/>
      <c r="DL521" s="3"/>
      <c r="DM521" s="3"/>
    </row>
    <row r="522" ht="11.25" customHeight="1">
      <c r="A522" s="3"/>
      <c r="B522" s="2"/>
      <c r="C522" s="3"/>
      <c r="D522" s="3"/>
      <c r="E522" s="3"/>
      <c r="F522" s="4"/>
      <c r="G522" s="4"/>
      <c r="H522" s="4"/>
      <c r="I522" s="5"/>
      <c r="J522" s="4"/>
      <c r="K522" s="4"/>
      <c r="L522" s="6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3"/>
      <c r="AL522" s="3"/>
      <c r="AM522" s="3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8"/>
      <c r="BU522" s="8"/>
      <c r="BV522" s="8"/>
      <c r="BW522" s="8"/>
      <c r="BX522" s="3"/>
      <c r="BY522" s="3"/>
      <c r="BZ522" s="3"/>
      <c r="CA522" s="8"/>
      <c r="CB522" s="8"/>
      <c r="CC522" s="8"/>
      <c r="CD522" s="8"/>
      <c r="CE522" s="8"/>
      <c r="CF522" s="8"/>
      <c r="CG522" s="9"/>
      <c r="CH522" s="8"/>
      <c r="CI522" s="8"/>
      <c r="CJ522" s="8"/>
      <c r="CK522" s="8"/>
      <c r="CL522" s="8"/>
      <c r="CM522" s="8"/>
      <c r="CN522" s="8"/>
      <c r="CO522" s="8"/>
      <c r="CP522" s="8"/>
      <c r="CQ522" s="9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9"/>
      <c r="DG522" s="9"/>
      <c r="DH522" s="10"/>
      <c r="DI522" s="9"/>
      <c r="DJ522" s="9"/>
      <c r="DK522" s="3"/>
      <c r="DL522" s="3"/>
      <c r="DM522" s="3"/>
    </row>
    <row r="523" ht="11.25" customHeight="1">
      <c r="A523" s="3"/>
      <c r="B523" s="2"/>
      <c r="C523" s="3"/>
      <c r="D523" s="3"/>
      <c r="E523" s="3"/>
      <c r="F523" s="4"/>
      <c r="G523" s="4"/>
      <c r="H523" s="4"/>
      <c r="I523" s="5"/>
      <c r="J523" s="4"/>
      <c r="K523" s="4"/>
      <c r="L523" s="6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3"/>
      <c r="AL523" s="3"/>
      <c r="AM523" s="3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8"/>
      <c r="BU523" s="8"/>
      <c r="BV523" s="8"/>
      <c r="BW523" s="8"/>
      <c r="BX523" s="3"/>
      <c r="BY523" s="3"/>
      <c r="BZ523" s="3"/>
      <c r="CA523" s="8"/>
      <c r="CB523" s="8"/>
      <c r="CC523" s="8"/>
      <c r="CD523" s="8"/>
      <c r="CE523" s="8"/>
      <c r="CF523" s="8"/>
      <c r="CG523" s="9"/>
      <c r="CH523" s="8"/>
      <c r="CI523" s="8"/>
      <c r="CJ523" s="8"/>
      <c r="CK523" s="8"/>
      <c r="CL523" s="8"/>
      <c r="CM523" s="8"/>
      <c r="CN523" s="8"/>
      <c r="CO523" s="8"/>
      <c r="CP523" s="8"/>
      <c r="CQ523" s="9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9"/>
      <c r="DG523" s="9"/>
      <c r="DH523" s="10"/>
      <c r="DI523" s="9"/>
      <c r="DJ523" s="9"/>
      <c r="DK523" s="3"/>
      <c r="DL523" s="3"/>
      <c r="DM523" s="3"/>
    </row>
    <row r="524" ht="11.25" customHeight="1">
      <c r="A524" s="3"/>
      <c r="B524" s="2"/>
      <c r="C524" s="3"/>
      <c r="D524" s="3"/>
      <c r="E524" s="3"/>
      <c r="F524" s="4"/>
      <c r="G524" s="4"/>
      <c r="H524" s="4"/>
      <c r="I524" s="5"/>
      <c r="J524" s="4"/>
      <c r="K524" s="4"/>
      <c r="L524" s="6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3"/>
      <c r="AL524" s="3"/>
      <c r="AM524" s="3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8"/>
      <c r="BU524" s="8"/>
      <c r="BV524" s="8"/>
      <c r="BW524" s="8"/>
      <c r="BX524" s="3"/>
      <c r="BY524" s="3"/>
      <c r="BZ524" s="3"/>
      <c r="CA524" s="8"/>
      <c r="CB524" s="8"/>
      <c r="CC524" s="8"/>
      <c r="CD524" s="8"/>
      <c r="CE524" s="8"/>
      <c r="CF524" s="8"/>
      <c r="CG524" s="9"/>
      <c r="CH524" s="8"/>
      <c r="CI524" s="8"/>
      <c r="CJ524" s="8"/>
      <c r="CK524" s="8"/>
      <c r="CL524" s="8"/>
      <c r="CM524" s="8"/>
      <c r="CN524" s="8"/>
      <c r="CO524" s="8"/>
      <c r="CP524" s="8"/>
      <c r="CQ524" s="9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9"/>
      <c r="DG524" s="9"/>
      <c r="DH524" s="10"/>
      <c r="DI524" s="9"/>
      <c r="DJ524" s="9"/>
      <c r="DK524" s="3"/>
      <c r="DL524" s="3"/>
      <c r="DM524" s="3"/>
    </row>
    <row r="525" ht="11.25" customHeight="1">
      <c r="A525" s="3"/>
      <c r="B525" s="2"/>
      <c r="C525" s="3"/>
      <c r="D525" s="3"/>
      <c r="E525" s="3"/>
      <c r="F525" s="4"/>
      <c r="G525" s="4"/>
      <c r="H525" s="4"/>
      <c r="I525" s="5"/>
      <c r="J525" s="4"/>
      <c r="K525" s="4"/>
      <c r="L525" s="6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3"/>
      <c r="AL525" s="3"/>
      <c r="AM525" s="3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8"/>
      <c r="BU525" s="8"/>
      <c r="BV525" s="8"/>
      <c r="BW525" s="8"/>
      <c r="BX525" s="3"/>
      <c r="BY525" s="3"/>
      <c r="BZ525" s="3"/>
      <c r="CA525" s="8"/>
      <c r="CB525" s="8"/>
      <c r="CC525" s="8"/>
      <c r="CD525" s="8"/>
      <c r="CE525" s="8"/>
      <c r="CF525" s="8"/>
      <c r="CG525" s="9"/>
      <c r="CH525" s="8"/>
      <c r="CI525" s="8"/>
      <c r="CJ525" s="8"/>
      <c r="CK525" s="8"/>
      <c r="CL525" s="8"/>
      <c r="CM525" s="8"/>
      <c r="CN525" s="8"/>
      <c r="CO525" s="8"/>
      <c r="CP525" s="8"/>
      <c r="CQ525" s="9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9"/>
      <c r="DG525" s="9"/>
      <c r="DH525" s="10"/>
      <c r="DI525" s="9"/>
      <c r="DJ525" s="9"/>
      <c r="DK525" s="3"/>
      <c r="DL525" s="3"/>
      <c r="DM525" s="3"/>
    </row>
    <row r="526" ht="11.25" customHeight="1">
      <c r="A526" s="3"/>
      <c r="B526" s="2"/>
      <c r="C526" s="3"/>
      <c r="D526" s="3"/>
      <c r="E526" s="3"/>
      <c r="F526" s="4"/>
      <c r="G526" s="4"/>
      <c r="H526" s="4"/>
      <c r="I526" s="5"/>
      <c r="J526" s="4"/>
      <c r="K526" s="4"/>
      <c r="L526" s="6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3"/>
      <c r="AL526" s="3"/>
      <c r="AM526" s="3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8"/>
      <c r="BU526" s="8"/>
      <c r="BV526" s="8"/>
      <c r="BW526" s="8"/>
      <c r="BX526" s="3"/>
      <c r="BY526" s="3"/>
      <c r="BZ526" s="3"/>
      <c r="CA526" s="8"/>
      <c r="CB526" s="8"/>
      <c r="CC526" s="8"/>
      <c r="CD526" s="8"/>
      <c r="CE526" s="8"/>
      <c r="CF526" s="8"/>
      <c r="CG526" s="9"/>
      <c r="CH526" s="8"/>
      <c r="CI526" s="8"/>
      <c r="CJ526" s="8"/>
      <c r="CK526" s="8"/>
      <c r="CL526" s="8"/>
      <c r="CM526" s="8"/>
      <c r="CN526" s="8"/>
      <c r="CO526" s="8"/>
      <c r="CP526" s="8"/>
      <c r="CQ526" s="9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9"/>
      <c r="DG526" s="9"/>
      <c r="DH526" s="10"/>
      <c r="DI526" s="9"/>
      <c r="DJ526" s="9"/>
      <c r="DK526" s="3"/>
      <c r="DL526" s="3"/>
      <c r="DM526" s="3"/>
    </row>
    <row r="527" ht="11.25" customHeight="1">
      <c r="A527" s="3"/>
      <c r="B527" s="2"/>
      <c r="C527" s="3"/>
      <c r="D527" s="3"/>
      <c r="E527" s="3"/>
      <c r="F527" s="4"/>
      <c r="G527" s="4"/>
      <c r="H527" s="4"/>
      <c r="I527" s="5"/>
      <c r="J527" s="4"/>
      <c r="K527" s="4"/>
      <c r="L527" s="6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3"/>
      <c r="AL527" s="3"/>
      <c r="AM527" s="3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8"/>
      <c r="BU527" s="8"/>
      <c r="BV527" s="8"/>
      <c r="BW527" s="8"/>
      <c r="BX527" s="3"/>
      <c r="BY527" s="3"/>
      <c r="BZ527" s="3"/>
      <c r="CA527" s="8"/>
      <c r="CB527" s="8"/>
      <c r="CC527" s="8"/>
      <c r="CD527" s="8"/>
      <c r="CE527" s="8"/>
      <c r="CF527" s="8"/>
      <c r="CG527" s="9"/>
      <c r="CH527" s="8"/>
      <c r="CI527" s="8"/>
      <c r="CJ527" s="8"/>
      <c r="CK527" s="8"/>
      <c r="CL527" s="8"/>
      <c r="CM527" s="8"/>
      <c r="CN527" s="8"/>
      <c r="CO527" s="8"/>
      <c r="CP527" s="8"/>
      <c r="CQ527" s="9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9"/>
      <c r="DG527" s="9"/>
      <c r="DH527" s="10"/>
      <c r="DI527" s="9"/>
      <c r="DJ527" s="9"/>
      <c r="DK527" s="3"/>
      <c r="DL527" s="3"/>
      <c r="DM527" s="3"/>
    </row>
    <row r="528" ht="11.25" customHeight="1">
      <c r="A528" s="3"/>
      <c r="B528" s="2"/>
      <c r="C528" s="3"/>
      <c r="D528" s="3"/>
      <c r="E528" s="3"/>
      <c r="F528" s="4"/>
      <c r="G528" s="4"/>
      <c r="H528" s="4"/>
      <c r="I528" s="5"/>
      <c r="J528" s="4"/>
      <c r="K528" s="4"/>
      <c r="L528" s="6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3"/>
      <c r="AL528" s="3"/>
      <c r="AM528" s="3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8"/>
      <c r="BU528" s="8"/>
      <c r="BV528" s="8"/>
      <c r="BW528" s="8"/>
      <c r="BX528" s="3"/>
      <c r="BY528" s="3"/>
      <c r="BZ528" s="3"/>
      <c r="CA528" s="8"/>
      <c r="CB528" s="8"/>
      <c r="CC528" s="8"/>
      <c r="CD528" s="8"/>
      <c r="CE528" s="8"/>
      <c r="CF528" s="8"/>
      <c r="CG528" s="9"/>
      <c r="CH528" s="8"/>
      <c r="CI528" s="8"/>
      <c r="CJ528" s="8"/>
      <c r="CK528" s="8"/>
      <c r="CL528" s="8"/>
      <c r="CM528" s="8"/>
      <c r="CN528" s="8"/>
      <c r="CO528" s="8"/>
      <c r="CP528" s="8"/>
      <c r="CQ528" s="9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9"/>
      <c r="DG528" s="9"/>
      <c r="DH528" s="10"/>
      <c r="DI528" s="9"/>
      <c r="DJ528" s="9"/>
      <c r="DK528" s="3"/>
      <c r="DL528" s="3"/>
      <c r="DM528" s="3"/>
    </row>
    <row r="529" ht="11.25" customHeight="1">
      <c r="A529" s="3"/>
      <c r="B529" s="2"/>
      <c r="C529" s="3"/>
      <c r="D529" s="3"/>
      <c r="E529" s="3"/>
      <c r="F529" s="4"/>
      <c r="G529" s="4"/>
      <c r="H529" s="4"/>
      <c r="I529" s="5"/>
      <c r="J529" s="4"/>
      <c r="K529" s="4"/>
      <c r="L529" s="6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3"/>
      <c r="AL529" s="3"/>
      <c r="AM529" s="3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8"/>
      <c r="BU529" s="8"/>
      <c r="BV529" s="8"/>
      <c r="BW529" s="8"/>
      <c r="BX529" s="3"/>
      <c r="BY529" s="3"/>
      <c r="BZ529" s="3"/>
      <c r="CA529" s="8"/>
      <c r="CB529" s="8"/>
      <c r="CC529" s="8"/>
      <c r="CD529" s="8"/>
      <c r="CE529" s="8"/>
      <c r="CF529" s="8"/>
      <c r="CG529" s="9"/>
      <c r="CH529" s="8"/>
      <c r="CI529" s="8"/>
      <c r="CJ529" s="8"/>
      <c r="CK529" s="8"/>
      <c r="CL529" s="8"/>
      <c r="CM529" s="8"/>
      <c r="CN529" s="8"/>
      <c r="CO529" s="8"/>
      <c r="CP529" s="8"/>
      <c r="CQ529" s="9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9"/>
      <c r="DG529" s="9"/>
      <c r="DH529" s="10"/>
      <c r="DI529" s="9"/>
      <c r="DJ529" s="9"/>
      <c r="DK529" s="3"/>
      <c r="DL529" s="3"/>
      <c r="DM529" s="3"/>
    </row>
    <row r="530" ht="11.25" customHeight="1">
      <c r="A530" s="3"/>
      <c r="B530" s="2"/>
      <c r="C530" s="3"/>
      <c r="D530" s="3"/>
      <c r="E530" s="3"/>
      <c r="F530" s="4"/>
      <c r="G530" s="4"/>
      <c r="H530" s="4"/>
      <c r="I530" s="5"/>
      <c r="J530" s="4"/>
      <c r="K530" s="4"/>
      <c r="L530" s="6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3"/>
      <c r="AL530" s="3"/>
      <c r="AM530" s="3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8"/>
      <c r="BU530" s="8"/>
      <c r="BV530" s="8"/>
      <c r="BW530" s="8"/>
      <c r="BX530" s="3"/>
      <c r="BY530" s="3"/>
      <c r="BZ530" s="3"/>
      <c r="CA530" s="8"/>
      <c r="CB530" s="8"/>
      <c r="CC530" s="8"/>
      <c r="CD530" s="8"/>
      <c r="CE530" s="8"/>
      <c r="CF530" s="8"/>
      <c r="CG530" s="9"/>
      <c r="CH530" s="8"/>
      <c r="CI530" s="8"/>
      <c r="CJ530" s="8"/>
      <c r="CK530" s="8"/>
      <c r="CL530" s="8"/>
      <c r="CM530" s="8"/>
      <c r="CN530" s="8"/>
      <c r="CO530" s="8"/>
      <c r="CP530" s="8"/>
      <c r="CQ530" s="9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9"/>
      <c r="DG530" s="9"/>
      <c r="DH530" s="10"/>
      <c r="DI530" s="9"/>
      <c r="DJ530" s="9"/>
      <c r="DK530" s="3"/>
      <c r="DL530" s="3"/>
      <c r="DM530" s="3"/>
    </row>
    <row r="531" ht="11.25" customHeight="1">
      <c r="A531" s="3"/>
      <c r="B531" s="2"/>
      <c r="C531" s="3"/>
      <c r="D531" s="3"/>
      <c r="E531" s="3"/>
      <c r="F531" s="4"/>
      <c r="G531" s="4"/>
      <c r="H531" s="4"/>
      <c r="I531" s="5"/>
      <c r="J531" s="4"/>
      <c r="K531" s="4"/>
      <c r="L531" s="6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3"/>
      <c r="AL531" s="3"/>
      <c r="AM531" s="3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8"/>
      <c r="BU531" s="8"/>
      <c r="BV531" s="8"/>
      <c r="BW531" s="8"/>
      <c r="BX531" s="3"/>
      <c r="BY531" s="3"/>
      <c r="BZ531" s="3"/>
      <c r="CA531" s="8"/>
      <c r="CB531" s="8"/>
      <c r="CC531" s="8"/>
      <c r="CD531" s="8"/>
      <c r="CE531" s="8"/>
      <c r="CF531" s="8"/>
      <c r="CG531" s="9"/>
      <c r="CH531" s="8"/>
      <c r="CI531" s="8"/>
      <c r="CJ531" s="8"/>
      <c r="CK531" s="8"/>
      <c r="CL531" s="8"/>
      <c r="CM531" s="8"/>
      <c r="CN531" s="8"/>
      <c r="CO531" s="8"/>
      <c r="CP531" s="8"/>
      <c r="CQ531" s="9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9"/>
      <c r="DG531" s="9"/>
      <c r="DH531" s="10"/>
      <c r="DI531" s="9"/>
      <c r="DJ531" s="9"/>
      <c r="DK531" s="3"/>
      <c r="DL531" s="3"/>
      <c r="DM531" s="3"/>
    </row>
    <row r="532" ht="11.25" customHeight="1">
      <c r="A532" s="3"/>
      <c r="B532" s="2"/>
      <c r="C532" s="3"/>
      <c r="D532" s="3"/>
      <c r="E532" s="3"/>
      <c r="F532" s="4"/>
      <c r="G532" s="4"/>
      <c r="H532" s="4"/>
      <c r="I532" s="5"/>
      <c r="J532" s="4"/>
      <c r="K532" s="4"/>
      <c r="L532" s="6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3"/>
      <c r="AL532" s="3"/>
      <c r="AM532" s="3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8"/>
      <c r="BU532" s="8"/>
      <c r="BV532" s="8"/>
      <c r="BW532" s="8"/>
      <c r="BX532" s="3"/>
      <c r="BY532" s="3"/>
      <c r="BZ532" s="3"/>
      <c r="CA532" s="8"/>
      <c r="CB532" s="8"/>
      <c r="CC532" s="8"/>
      <c r="CD532" s="8"/>
      <c r="CE532" s="8"/>
      <c r="CF532" s="8"/>
      <c r="CG532" s="9"/>
      <c r="CH532" s="8"/>
      <c r="CI532" s="8"/>
      <c r="CJ532" s="8"/>
      <c r="CK532" s="8"/>
      <c r="CL532" s="8"/>
      <c r="CM532" s="8"/>
      <c r="CN532" s="8"/>
      <c r="CO532" s="8"/>
      <c r="CP532" s="8"/>
      <c r="CQ532" s="9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9"/>
      <c r="DG532" s="9"/>
      <c r="DH532" s="10"/>
      <c r="DI532" s="9"/>
      <c r="DJ532" s="9"/>
      <c r="DK532" s="3"/>
      <c r="DL532" s="3"/>
      <c r="DM532" s="3"/>
    </row>
    <row r="533" ht="11.25" customHeight="1">
      <c r="A533" s="3"/>
      <c r="B533" s="2"/>
      <c r="C533" s="3"/>
      <c r="D533" s="3"/>
      <c r="E533" s="3"/>
      <c r="F533" s="4"/>
      <c r="G533" s="4"/>
      <c r="H533" s="4"/>
      <c r="I533" s="5"/>
      <c r="J533" s="4"/>
      <c r="K533" s="4"/>
      <c r="L533" s="6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3"/>
      <c r="AL533" s="3"/>
      <c r="AM533" s="3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8"/>
      <c r="BU533" s="8"/>
      <c r="BV533" s="8"/>
      <c r="BW533" s="8"/>
      <c r="BX533" s="3"/>
      <c r="BY533" s="3"/>
      <c r="BZ533" s="3"/>
      <c r="CA533" s="8"/>
      <c r="CB533" s="8"/>
      <c r="CC533" s="8"/>
      <c r="CD533" s="8"/>
      <c r="CE533" s="8"/>
      <c r="CF533" s="8"/>
      <c r="CG533" s="9"/>
      <c r="CH533" s="8"/>
      <c r="CI533" s="8"/>
      <c r="CJ533" s="8"/>
      <c r="CK533" s="8"/>
      <c r="CL533" s="8"/>
      <c r="CM533" s="8"/>
      <c r="CN533" s="8"/>
      <c r="CO533" s="8"/>
      <c r="CP533" s="8"/>
      <c r="CQ533" s="9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9"/>
      <c r="DG533" s="9"/>
      <c r="DH533" s="10"/>
      <c r="DI533" s="9"/>
      <c r="DJ533" s="9"/>
      <c r="DK533" s="3"/>
      <c r="DL533" s="3"/>
      <c r="DM533" s="3"/>
    </row>
    <row r="534" ht="11.25" customHeight="1">
      <c r="A534" s="3"/>
      <c r="B534" s="2"/>
      <c r="C534" s="3"/>
      <c r="D534" s="3"/>
      <c r="E534" s="3"/>
      <c r="F534" s="4"/>
      <c r="G534" s="4"/>
      <c r="H534" s="4"/>
      <c r="I534" s="5"/>
      <c r="J534" s="4"/>
      <c r="K534" s="4"/>
      <c r="L534" s="6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3"/>
      <c r="AL534" s="3"/>
      <c r="AM534" s="3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8"/>
      <c r="BU534" s="8"/>
      <c r="BV534" s="8"/>
      <c r="BW534" s="8"/>
      <c r="BX534" s="3"/>
      <c r="BY534" s="3"/>
      <c r="BZ534" s="3"/>
      <c r="CA534" s="8"/>
      <c r="CB534" s="8"/>
      <c r="CC534" s="8"/>
      <c r="CD534" s="8"/>
      <c r="CE534" s="8"/>
      <c r="CF534" s="8"/>
      <c r="CG534" s="9"/>
      <c r="CH534" s="8"/>
      <c r="CI534" s="8"/>
      <c r="CJ534" s="8"/>
      <c r="CK534" s="8"/>
      <c r="CL534" s="8"/>
      <c r="CM534" s="8"/>
      <c r="CN534" s="8"/>
      <c r="CO534" s="8"/>
      <c r="CP534" s="8"/>
      <c r="CQ534" s="9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9"/>
      <c r="DG534" s="9"/>
      <c r="DH534" s="10"/>
      <c r="DI534" s="9"/>
      <c r="DJ534" s="9"/>
      <c r="DK534" s="3"/>
      <c r="DL534" s="3"/>
      <c r="DM534" s="3"/>
    </row>
    <row r="535" ht="11.25" customHeight="1">
      <c r="A535" s="3"/>
      <c r="B535" s="2"/>
      <c r="C535" s="3"/>
      <c r="D535" s="3"/>
      <c r="E535" s="3"/>
      <c r="F535" s="4"/>
      <c r="G535" s="4"/>
      <c r="H535" s="4"/>
      <c r="I535" s="5"/>
      <c r="J535" s="4"/>
      <c r="K535" s="4"/>
      <c r="L535" s="6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3"/>
      <c r="AL535" s="3"/>
      <c r="AM535" s="3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8"/>
      <c r="BU535" s="8"/>
      <c r="BV535" s="8"/>
      <c r="BW535" s="8"/>
      <c r="BX535" s="3"/>
      <c r="BY535" s="3"/>
      <c r="BZ535" s="3"/>
      <c r="CA535" s="8"/>
      <c r="CB535" s="8"/>
      <c r="CC535" s="8"/>
      <c r="CD535" s="8"/>
      <c r="CE535" s="8"/>
      <c r="CF535" s="8"/>
      <c r="CG535" s="9"/>
      <c r="CH535" s="8"/>
      <c r="CI535" s="8"/>
      <c r="CJ535" s="8"/>
      <c r="CK535" s="8"/>
      <c r="CL535" s="8"/>
      <c r="CM535" s="8"/>
      <c r="CN535" s="8"/>
      <c r="CO535" s="8"/>
      <c r="CP535" s="8"/>
      <c r="CQ535" s="9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9"/>
      <c r="DG535" s="9"/>
      <c r="DH535" s="10"/>
      <c r="DI535" s="9"/>
      <c r="DJ535" s="9"/>
      <c r="DK535" s="3"/>
      <c r="DL535" s="3"/>
      <c r="DM535" s="3"/>
    </row>
    <row r="536" ht="11.25" customHeight="1">
      <c r="A536" s="3"/>
      <c r="B536" s="2"/>
      <c r="C536" s="3"/>
      <c r="D536" s="3"/>
      <c r="E536" s="3"/>
      <c r="F536" s="4"/>
      <c r="G536" s="4"/>
      <c r="H536" s="4"/>
      <c r="I536" s="5"/>
      <c r="J536" s="4"/>
      <c r="K536" s="4"/>
      <c r="L536" s="6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3"/>
      <c r="AL536" s="3"/>
      <c r="AM536" s="3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8"/>
      <c r="BU536" s="8"/>
      <c r="BV536" s="8"/>
      <c r="BW536" s="8"/>
      <c r="BX536" s="3"/>
      <c r="BY536" s="3"/>
      <c r="BZ536" s="3"/>
      <c r="CA536" s="8"/>
      <c r="CB536" s="8"/>
      <c r="CC536" s="8"/>
      <c r="CD536" s="8"/>
      <c r="CE536" s="8"/>
      <c r="CF536" s="8"/>
      <c r="CG536" s="9"/>
      <c r="CH536" s="8"/>
      <c r="CI536" s="8"/>
      <c r="CJ536" s="8"/>
      <c r="CK536" s="8"/>
      <c r="CL536" s="8"/>
      <c r="CM536" s="8"/>
      <c r="CN536" s="8"/>
      <c r="CO536" s="8"/>
      <c r="CP536" s="8"/>
      <c r="CQ536" s="9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9"/>
      <c r="DG536" s="9"/>
      <c r="DH536" s="10"/>
      <c r="DI536" s="9"/>
      <c r="DJ536" s="9"/>
      <c r="DK536" s="3"/>
      <c r="DL536" s="3"/>
      <c r="DM536" s="3"/>
    </row>
    <row r="537" ht="11.25" customHeight="1">
      <c r="A537" s="3"/>
      <c r="B537" s="2"/>
      <c r="C537" s="3"/>
      <c r="D537" s="3"/>
      <c r="E537" s="3"/>
      <c r="F537" s="4"/>
      <c r="G537" s="4"/>
      <c r="H537" s="4"/>
      <c r="I537" s="5"/>
      <c r="J537" s="4"/>
      <c r="K537" s="4"/>
      <c r="L537" s="6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3"/>
      <c r="AL537" s="3"/>
      <c r="AM537" s="3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8"/>
      <c r="BU537" s="8"/>
      <c r="BV537" s="8"/>
      <c r="BW537" s="8"/>
      <c r="BX537" s="3"/>
      <c r="BY537" s="3"/>
      <c r="BZ537" s="3"/>
      <c r="CA537" s="8"/>
      <c r="CB537" s="8"/>
      <c r="CC537" s="8"/>
      <c r="CD537" s="8"/>
      <c r="CE537" s="8"/>
      <c r="CF537" s="8"/>
      <c r="CG537" s="9"/>
      <c r="CH537" s="8"/>
      <c r="CI537" s="8"/>
      <c r="CJ537" s="8"/>
      <c r="CK537" s="8"/>
      <c r="CL537" s="8"/>
      <c r="CM537" s="8"/>
      <c r="CN537" s="8"/>
      <c r="CO537" s="8"/>
      <c r="CP537" s="8"/>
      <c r="CQ537" s="9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9"/>
      <c r="DG537" s="9"/>
      <c r="DH537" s="10"/>
      <c r="DI537" s="9"/>
      <c r="DJ537" s="9"/>
      <c r="DK537" s="3"/>
      <c r="DL537" s="3"/>
      <c r="DM537" s="3"/>
    </row>
    <row r="538" ht="11.25" customHeight="1">
      <c r="A538" s="3"/>
      <c r="B538" s="2"/>
      <c r="C538" s="3"/>
      <c r="D538" s="3"/>
      <c r="E538" s="3"/>
      <c r="F538" s="4"/>
      <c r="G538" s="4"/>
      <c r="H538" s="4"/>
      <c r="I538" s="5"/>
      <c r="J538" s="4"/>
      <c r="K538" s="4"/>
      <c r="L538" s="6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3"/>
      <c r="AL538" s="3"/>
      <c r="AM538" s="3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8"/>
      <c r="BU538" s="8"/>
      <c r="BV538" s="8"/>
      <c r="BW538" s="8"/>
      <c r="BX538" s="3"/>
      <c r="BY538" s="3"/>
      <c r="BZ538" s="3"/>
      <c r="CA538" s="8"/>
      <c r="CB538" s="8"/>
      <c r="CC538" s="8"/>
      <c r="CD538" s="8"/>
      <c r="CE538" s="8"/>
      <c r="CF538" s="8"/>
      <c r="CG538" s="9"/>
      <c r="CH538" s="8"/>
      <c r="CI538" s="8"/>
      <c r="CJ538" s="8"/>
      <c r="CK538" s="8"/>
      <c r="CL538" s="8"/>
      <c r="CM538" s="8"/>
      <c r="CN538" s="8"/>
      <c r="CO538" s="8"/>
      <c r="CP538" s="8"/>
      <c r="CQ538" s="9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9"/>
      <c r="DG538" s="9"/>
      <c r="DH538" s="10"/>
      <c r="DI538" s="9"/>
      <c r="DJ538" s="9"/>
      <c r="DK538" s="3"/>
      <c r="DL538" s="3"/>
      <c r="DM538" s="3"/>
    </row>
    <row r="539" ht="11.25" customHeight="1">
      <c r="A539" s="3"/>
      <c r="B539" s="2"/>
      <c r="C539" s="3"/>
      <c r="D539" s="3"/>
      <c r="E539" s="3"/>
      <c r="F539" s="4"/>
      <c r="G539" s="4"/>
      <c r="H539" s="4"/>
      <c r="I539" s="5"/>
      <c r="J539" s="4"/>
      <c r="K539" s="4"/>
      <c r="L539" s="6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3"/>
      <c r="AL539" s="3"/>
      <c r="AM539" s="3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8"/>
      <c r="BU539" s="8"/>
      <c r="BV539" s="8"/>
      <c r="BW539" s="8"/>
      <c r="BX539" s="3"/>
      <c r="BY539" s="3"/>
      <c r="BZ539" s="3"/>
      <c r="CA539" s="8"/>
      <c r="CB539" s="8"/>
      <c r="CC539" s="8"/>
      <c r="CD539" s="8"/>
      <c r="CE539" s="8"/>
      <c r="CF539" s="8"/>
      <c r="CG539" s="9"/>
      <c r="CH539" s="8"/>
      <c r="CI539" s="8"/>
      <c r="CJ539" s="8"/>
      <c r="CK539" s="8"/>
      <c r="CL539" s="8"/>
      <c r="CM539" s="8"/>
      <c r="CN539" s="8"/>
      <c r="CO539" s="8"/>
      <c r="CP539" s="8"/>
      <c r="CQ539" s="9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9"/>
      <c r="DG539" s="9"/>
      <c r="DH539" s="10"/>
      <c r="DI539" s="9"/>
      <c r="DJ539" s="9"/>
      <c r="DK539" s="3"/>
      <c r="DL539" s="3"/>
      <c r="DM539" s="3"/>
    </row>
    <row r="540" ht="11.25" customHeight="1">
      <c r="A540" s="3"/>
      <c r="B540" s="2"/>
      <c r="C540" s="3"/>
      <c r="D540" s="3"/>
      <c r="E540" s="3"/>
      <c r="F540" s="4"/>
      <c r="G540" s="4"/>
      <c r="H540" s="4"/>
      <c r="I540" s="5"/>
      <c r="J540" s="4"/>
      <c r="K540" s="4"/>
      <c r="L540" s="6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3"/>
      <c r="AL540" s="3"/>
      <c r="AM540" s="3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8"/>
      <c r="BU540" s="8"/>
      <c r="BV540" s="8"/>
      <c r="BW540" s="8"/>
      <c r="BX540" s="3"/>
      <c r="BY540" s="3"/>
      <c r="BZ540" s="3"/>
      <c r="CA540" s="8"/>
      <c r="CB540" s="8"/>
      <c r="CC540" s="8"/>
      <c r="CD540" s="8"/>
      <c r="CE540" s="8"/>
      <c r="CF540" s="8"/>
      <c r="CG540" s="9"/>
      <c r="CH540" s="8"/>
      <c r="CI540" s="8"/>
      <c r="CJ540" s="8"/>
      <c r="CK540" s="8"/>
      <c r="CL540" s="8"/>
      <c r="CM540" s="8"/>
      <c r="CN540" s="8"/>
      <c r="CO540" s="8"/>
      <c r="CP540" s="8"/>
      <c r="CQ540" s="9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9"/>
      <c r="DG540" s="9"/>
      <c r="DH540" s="10"/>
      <c r="DI540" s="9"/>
      <c r="DJ540" s="9"/>
      <c r="DK540" s="3"/>
      <c r="DL540" s="3"/>
      <c r="DM540" s="3"/>
    </row>
    <row r="541" ht="11.25" customHeight="1">
      <c r="A541" s="3"/>
      <c r="B541" s="2"/>
      <c r="C541" s="3"/>
      <c r="D541" s="3"/>
      <c r="E541" s="3"/>
      <c r="F541" s="4"/>
      <c r="G541" s="4"/>
      <c r="H541" s="4"/>
      <c r="I541" s="5"/>
      <c r="J541" s="4"/>
      <c r="K541" s="4"/>
      <c r="L541" s="6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3"/>
      <c r="AL541" s="3"/>
      <c r="AM541" s="3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8"/>
      <c r="BU541" s="8"/>
      <c r="BV541" s="8"/>
      <c r="BW541" s="8"/>
      <c r="BX541" s="3"/>
      <c r="BY541" s="3"/>
      <c r="BZ541" s="3"/>
      <c r="CA541" s="8"/>
      <c r="CB541" s="8"/>
      <c r="CC541" s="8"/>
      <c r="CD541" s="8"/>
      <c r="CE541" s="8"/>
      <c r="CF541" s="8"/>
      <c r="CG541" s="9"/>
      <c r="CH541" s="8"/>
      <c r="CI541" s="8"/>
      <c r="CJ541" s="8"/>
      <c r="CK541" s="8"/>
      <c r="CL541" s="8"/>
      <c r="CM541" s="8"/>
      <c r="CN541" s="8"/>
      <c r="CO541" s="8"/>
      <c r="CP541" s="8"/>
      <c r="CQ541" s="9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9"/>
      <c r="DG541" s="9"/>
      <c r="DH541" s="10"/>
      <c r="DI541" s="9"/>
      <c r="DJ541" s="9"/>
      <c r="DK541" s="3"/>
      <c r="DL541" s="3"/>
      <c r="DM541" s="3"/>
    </row>
    <row r="542" ht="11.25" customHeight="1">
      <c r="A542" s="3"/>
      <c r="B542" s="2"/>
      <c r="C542" s="3"/>
      <c r="D542" s="3"/>
      <c r="E542" s="3"/>
      <c r="F542" s="4"/>
      <c r="G542" s="4"/>
      <c r="H542" s="4"/>
      <c r="I542" s="5"/>
      <c r="J542" s="4"/>
      <c r="K542" s="4"/>
      <c r="L542" s="6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3"/>
      <c r="AL542" s="3"/>
      <c r="AM542" s="3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8"/>
      <c r="BU542" s="8"/>
      <c r="BV542" s="8"/>
      <c r="BW542" s="8"/>
      <c r="BX542" s="3"/>
      <c r="BY542" s="3"/>
      <c r="BZ542" s="3"/>
      <c r="CA542" s="8"/>
      <c r="CB542" s="8"/>
      <c r="CC542" s="8"/>
      <c r="CD542" s="8"/>
      <c r="CE542" s="8"/>
      <c r="CF542" s="8"/>
      <c r="CG542" s="9"/>
      <c r="CH542" s="8"/>
      <c r="CI542" s="8"/>
      <c r="CJ542" s="8"/>
      <c r="CK542" s="8"/>
      <c r="CL542" s="8"/>
      <c r="CM542" s="8"/>
      <c r="CN542" s="8"/>
      <c r="CO542" s="8"/>
      <c r="CP542" s="8"/>
      <c r="CQ542" s="9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9"/>
      <c r="DG542" s="9"/>
      <c r="DH542" s="10"/>
      <c r="DI542" s="9"/>
      <c r="DJ542" s="9"/>
      <c r="DK542" s="3"/>
      <c r="DL542" s="3"/>
      <c r="DM542" s="3"/>
    </row>
    <row r="543" ht="11.25" customHeight="1">
      <c r="A543" s="3"/>
      <c r="B543" s="2"/>
      <c r="C543" s="3"/>
      <c r="D543" s="3"/>
      <c r="E543" s="3"/>
      <c r="F543" s="4"/>
      <c r="G543" s="4"/>
      <c r="H543" s="4"/>
      <c r="I543" s="5"/>
      <c r="J543" s="4"/>
      <c r="K543" s="4"/>
      <c r="L543" s="6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3"/>
      <c r="AL543" s="3"/>
      <c r="AM543" s="3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8"/>
      <c r="BU543" s="8"/>
      <c r="BV543" s="8"/>
      <c r="BW543" s="8"/>
      <c r="BX543" s="3"/>
      <c r="BY543" s="3"/>
      <c r="BZ543" s="3"/>
      <c r="CA543" s="8"/>
      <c r="CB543" s="8"/>
      <c r="CC543" s="8"/>
      <c r="CD543" s="8"/>
      <c r="CE543" s="8"/>
      <c r="CF543" s="8"/>
      <c r="CG543" s="9"/>
      <c r="CH543" s="8"/>
      <c r="CI543" s="8"/>
      <c r="CJ543" s="8"/>
      <c r="CK543" s="8"/>
      <c r="CL543" s="8"/>
      <c r="CM543" s="8"/>
      <c r="CN543" s="8"/>
      <c r="CO543" s="8"/>
      <c r="CP543" s="8"/>
      <c r="CQ543" s="9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9"/>
      <c r="DG543" s="9"/>
      <c r="DH543" s="10"/>
      <c r="DI543" s="9"/>
      <c r="DJ543" s="9"/>
      <c r="DK543" s="3"/>
      <c r="DL543" s="3"/>
      <c r="DM543" s="3"/>
    </row>
    <row r="544" ht="11.25" customHeight="1">
      <c r="A544" s="3"/>
      <c r="B544" s="2"/>
      <c r="C544" s="3"/>
      <c r="D544" s="3"/>
      <c r="E544" s="3"/>
      <c r="F544" s="4"/>
      <c r="G544" s="4"/>
      <c r="H544" s="4"/>
      <c r="I544" s="5"/>
      <c r="J544" s="4"/>
      <c r="K544" s="4"/>
      <c r="L544" s="6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3"/>
      <c r="AL544" s="3"/>
      <c r="AM544" s="3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8"/>
      <c r="BU544" s="8"/>
      <c r="BV544" s="8"/>
      <c r="BW544" s="8"/>
      <c r="BX544" s="3"/>
      <c r="BY544" s="3"/>
      <c r="BZ544" s="3"/>
      <c r="CA544" s="8"/>
      <c r="CB544" s="8"/>
      <c r="CC544" s="8"/>
      <c r="CD544" s="8"/>
      <c r="CE544" s="8"/>
      <c r="CF544" s="8"/>
      <c r="CG544" s="9"/>
      <c r="CH544" s="8"/>
      <c r="CI544" s="8"/>
      <c r="CJ544" s="8"/>
      <c r="CK544" s="8"/>
      <c r="CL544" s="8"/>
      <c r="CM544" s="8"/>
      <c r="CN544" s="8"/>
      <c r="CO544" s="8"/>
      <c r="CP544" s="8"/>
      <c r="CQ544" s="9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9"/>
      <c r="DG544" s="9"/>
      <c r="DH544" s="10"/>
      <c r="DI544" s="9"/>
      <c r="DJ544" s="9"/>
      <c r="DK544" s="3"/>
      <c r="DL544" s="3"/>
      <c r="DM544" s="3"/>
    </row>
    <row r="545" ht="11.25" customHeight="1">
      <c r="A545" s="3"/>
      <c r="B545" s="2"/>
      <c r="C545" s="3"/>
      <c r="D545" s="3"/>
      <c r="E545" s="3"/>
      <c r="F545" s="4"/>
      <c r="G545" s="4"/>
      <c r="H545" s="4"/>
      <c r="I545" s="5"/>
      <c r="J545" s="4"/>
      <c r="K545" s="4"/>
      <c r="L545" s="6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3"/>
      <c r="AL545" s="3"/>
      <c r="AM545" s="3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8"/>
      <c r="BU545" s="8"/>
      <c r="BV545" s="8"/>
      <c r="BW545" s="8"/>
      <c r="BX545" s="3"/>
      <c r="BY545" s="3"/>
      <c r="BZ545" s="3"/>
      <c r="CA545" s="8"/>
      <c r="CB545" s="8"/>
      <c r="CC545" s="8"/>
      <c r="CD545" s="8"/>
      <c r="CE545" s="8"/>
      <c r="CF545" s="8"/>
      <c r="CG545" s="9"/>
      <c r="CH545" s="8"/>
      <c r="CI545" s="8"/>
      <c r="CJ545" s="8"/>
      <c r="CK545" s="8"/>
      <c r="CL545" s="8"/>
      <c r="CM545" s="8"/>
      <c r="CN545" s="8"/>
      <c r="CO545" s="8"/>
      <c r="CP545" s="8"/>
      <c r="CQ545" s="9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9"/>
      <c r="DG545" s="9"/>
      <c r="DH545" s="10"/>
      <c r="DI545" s="9"/>
      <c r="DJ545" s="9"/>
      <c r="DK545" s="3"/>
      <c r="DL545" s="3"/>
      <c r="DM545" s="3"/>
    </row>
    <row r="546" ht="11.25" customHeight="1">
      <c r="A546" s="3"/>
      <c r="B546" s="2"/>
      <c r="C546" s="3"/>
      <c r="D546" s="3"/>
      <c r="E546" s="3"/>
      <c r="F546" s="4"/>
      <c r="G546" s="4"/>
      <c r="H546" s="4"/>
      <c r="I546" s="5"/>
      <c r="J546" s="4"/>
      <c r="K546" s="4"/>
      <c r="L546" s="6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3"/>
      <c r="AL546" s="3"/>
      <c r="AM546" s="3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8"/>
      <c r="BU546" s="8"/>
      <c r="BV546" s="8"/>
      <c r="BW546" s="8"/>
      <c r="BX546" s="3"/>
      <c r="BY546" s="3"/>
      <c r="BZ546" s="3"/>
      <c r="CA546" s="8"/>
      <c r="CB546" s="8"/>
      <c r="CC546" s="8"/>
      <c r="CD546" s="8"/>
      <c r="CE546" s="8"/>
      <c r="CF546" s="8"/>
      <c r="CG546" s="9"/>
      <c r="CH546" s="8"/>
      <c r="CI546" s="8"/>
      <c r="CJ546" s="8"/>
      <c r="CK546" s="8"/>
      <c r="CL546" s="8"/>
      <c r="CM546" s="8"/>
      <c r="CN546" s="8"/>
      <c r="CO546" s="8"/>
      <c r="CP546" s="8"/>
      <c r="CQ546" s="9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9"/>
      <c r="DG546" s="9"/>
      <c r="DH546" s="10"/>
      <c r="DI546" s="9"/>
      <c r="DJ546" s="9"/>
      <c r="DK546" s="3"/>
      <c r="DL546" s="3"/>
      <c r="DM546" s="3"/>
    </row>
    <row r="547" ht="11.25" customHeight="1">
      <c r="A547" s="3"/>
      <c r="B547" s="2"/>
      <c r="C547" s="3"/>
      <c r="D547" s="3"/>
      <c r="E547" s="3"/>
      <c r="F547" s="4"/>
      <c r="G547" s="4"/>
      <c r="H547" s="4"/>
      <c r="I547" s="5"/>
      <c r="J547" s="4"/>
      <c r="K547" s="4"/>
      <c r="L547" s="6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3"/>
      <c r="AL547" s="3"/>
      <c r="AM547" s="3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8"/>
      <c r="BU547" s="8"/>
      <c r="BV547" s="8"/>
      <c r="BW547" s="8"/>
      <c r="BX547" s="3"/>
      <c r="BY547" s="3"/>
      <c r="BZ547" s="3"/>
      <c r="CA547" s="8"/>
      <c r="CB547" s="8"/>
      <c r="CC547" s="8"/>
      <c r="CD547" s="8"/>
      <c r="CE547" s="8"/>
      <c r="CF547" s="8"/>
      <c r="CG547" s="9"/>
      <c r="CH547" s="8"/>
      <c r="CI547" s="8"/>
      <c r="CJ547" s="8"/>
      <c r="CK547" s="8"/>
      <c r="CL547" s="8"/>
      <c r="CM547" s="8"/>
      <c r="CN547" s="8"/>
      <c r="CO547" s="8"/>
      <c r="CP547" s="8"/>
      <c r="CQ547" s="9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9"/>
      <c r="DG547" s="9"/>
      <c r="DH547" s="10"/>
      <c r="DI547" s="9"/>
      <c r="DJ547" s="9"/>
      <c r="DK547" s="3"/>
      <c r="DL547" s="3"/>
      <c r="DM547" s="3"/>
    </row>
    <row r="548" ht="11.25" customHeight="1">
      <c r="A548" s="3"/>
      <c r="B548" s="2"/>
      <c r="C548" s="3"/>
      <c r="D548" s="3"/>
      <c r="E548" s="3"/>
      <c r="F548" s="4"/>
      <c r="G548" s="4"/>
      <c r="H548" s="4"/>
      <c r="I548" s="5"/>
      <c r="J548" s="4"/>
      <c r="K548" s="4"/>
      <c r="L548" s="6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3"/>
      <c r="AL548" s="3"/>
      <c r="AM548" s="3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8"/>
      <c r="BU548" s="8"/>
      <c r="BV548" s="8"/>
      <c r="BW548" s="8"/>
      <c r="BX548" s="3"/>
      <c r="BY548" s="3"/>
      <c r="BZ548" s="3"/>
      <c r="CA548" s="8"/>
      <c r="CB548" s="8"/>
      <c r="CC548" s="8"/>
      <c r="CD548" s="8"/>
      <c r="CE548" s="8"/>
      <c r="CF548" s="8"/>
      <c r="CG548" s="9"/>
      <c r="CH548" s="8"/>
      <c r="CI548" s="8"/>
      <c r="CJ548" s="8"/>
      <c r="CK548" s="8"/>
      <c r="CL548" s="8"/>
      <c r="CM548" s="8"/>
      <c r="CN548" s="8"/>
      <c r="CO548" s="8"/>
      <c r="CP548" s="8"/>
      <c r="CQ548" s="9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9"/>
      <c r="DG548" s="9"/>
      <c r="DH548" s="10"/>
      <c r="DI548" s="9"/>
      <c r="DJ548" s="9"/>
      <c r="DK548" s="3"/>
      <c r="DL548" s="3"/>
      <c r="DM548" s="3"/>
    </row>
    <row r="549" ht="11.25" customHeight="1">
      <c r="A549" s="3"/>
      <c r="B549" s="2"/>
      <c r="C549" s="3"/>
      <c r="D549" s="3"/>
      <c r="E549" s="3"/>
      <c r="F549" s="4"/>
      <c r="G549" s="4"/>
      <c r="H549" s="4"/>
      <c r="I549" s="5"/>
      <c r="J549" s="4"/>
      <c r="K549" s="4"/>
      <c r="L549" s="6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3"/>
      <c r="AL549" s="3"/>
      <c r="AM549" s="3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8"/>
      <c r="BU549" s="8"/>
      <c r="BV549" s="8"/>
      <c r="BW549" s="8"/>
      <c r="BX549" s="3"/>
      <c r="BY549" s="3"/>
      <c r="BZ549" s="3"/>
      <c r="CA549" s="8"/>
      <c r="CB549" s="8"/>
      <c r="CC549" s="8"/>
      <c r="CD549" s="8"/>
      <c r="CE549" s="8"/>
      <c r="CF549" s="8"/>
      <c r="CG549" s="9"/>
      <c r="CH549" s="8"/>
      <c r="CI549" s="8"/>
      <c r="CJ549" s="8"/>
      <c r="CK549" s="8"/>
      <c r="CL549" s="8"/>
      <c r="CM549" s="8"/>
      <c r="CN549" s="8"/>
      <c r="CO549" s="8"/>
      <c r="CP549" s="8"/>
      <c r="CQ549" s="9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9"/>
      <c r="DG549" s="9"/>
      <c r="DH549" s="10"/>
      <c r="DI549" s="9"/>
      <c r="DJ549" s="9"/>
      <c r="DK549" s="3"/>
      <c r="DL549" s="3"/>
      <c r="DM549" s="3"/>
    </row>
    <row r="550" ht="11.25" customHeight="1">
      <c r="A550" s="3"/>
      <c r="B550" s="2"/>
      <c r="C550" s="3"/>
      <c r="D550" s="3"/>
      <c r="E550" s="3"/>
      <c r="F550" s="4"/>
      <c r="G550" s="4"/>
      <c r="H550" s="4"/>
      <c r="I550" s="5"/>
      <c r="J550" s="4"/>
      <c r="K550" s="4"/>
      <c r="L550" s="6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3"/>
      <c r="AL550" s="3"/>
      <c r="AM550" s="3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8"/>
      <c r="BU550" s="8"/>
      <c r="BV550" s="8"/>
      <c r="BW550" s="8"/>
      <c r="BX550" s="3"/>
      <c r="BY550" s="3"/>
      <c r="BZ550" s="3"/>
      <c r="CA550" s="8"/>
      <c r="CB550" s="8"/>
      <c r="CC550" s="8"/>
      <c r="CD550" s="8"/>
      <c r="CE550" s="8"/>
      <c r="CF550" s="8"/>
      <c r="CG550" s="9"/>
      <c r="CH550" s="8"/>
      <c r="CI550" s="8"/>
      <c r="CJ550" s="8"/>
      <c r="CK550" s="8"/>
      <c r="CL550" s="8"/>
      <c r="CM550" s="8"/>
      <c r="CN550" s="8"/>
      <c r="CO550" s="8"/>
      <c r="CP550" s="8"/>
      <c r="CQ550" s="9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9"/>
      <c r="DG550" s="9"/>
      <c r="DH550" s="10"/>
      <c r="DI550" s="9"/>
      <c r="DJ550" s="9"/>
      <c r="DK550" s="3"/>
      <c r="DL550" s="3"/>
      <c r="DM550" s="3"/>
    </row>
    <row r="551" ht="11.25" customHeight="1">
      <c r="A551" s="3"/>
      <c r="B551" s="2"/>
      <c r="C551" s="3"/>
      <c r="D551" s="3"/>
      <c r="E551" s="3"/>
      <c r="F551" s="4"/>
      <c r="G551" s="4"/>
      <c r="H551" s="4"/>
      <c r="I551" s="5"/>
      <c r="J551" s="4"/>
      <c r="K551" s="4"/>
      <c r="L551" s="6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3"/>
      <c r="AL551" s="3"/>
      <c r="AM551" s="3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8"/>
      <c r="BU551" s="8"/>
      <c r="BV551" s="8"/>
      <c r="BW551" s="8"/>
      <c r="BX551" s="3"/>
      <c r="BY551" s="3"/>
      <c r="BZ551" s="3"/>
      <c r="CA551" s="8"/>
      <c r="CB551" s="8"/>
      <c r="CC551" s="8"/>
      <c r="CD551" s="8"/>
      <c r="CE551" s="8"/>
      <c r="CF551" s="8"/>
      <c r="CG551" s="9"/>
      <c r="CH551" s="8"/>
      <c r="CI551" s="8"/>
      <c r="CJ551" s="8"/>
      <c r="CK551" s="8"/>
      <c r="CL551" s="8"/>
      <c r="CM551" s="8"/>
      <c r="CN551" s="8"/>
      <c r="CO551" s="8"/>
      <c r="CP551" s="8"/>
      <c r="CQ551" s="9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9"/>
      <c r="DG551" s="9"/>
      <c r="DH551" s="10"/>
      <c r="DI551" s="9"/>
      <c r="DJ551" s="9"/>
      <c r="DK551" s="3"/>
      <c r="DL551" s="3"/>
      <c r="DM551" s="3"/>
    </row>
    <row r="552" ht="11.25" customHeight="1">
      <c r="A552" s="3"/>
      <c r="B552" s="2"/>
      <c r="C552" s="3"/>
      <c r="D552" s="3"/>
      <c r="E552" s="3"/>
      <c r="F552" s="4"/>
      <c r="G552" s="4"/>
      <c r="H552" s="4"/>
      <c r="I552" s="5"/>
      <c r="J552" s="4"/>
      <c r="K552" s="4"/>
      <c r="L552" s="6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3"/>
      <c r="AL552" s="3"/>
      <c r="AM552" s="3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8"/>
      <c r="BU552" s="8"/>
      <c r="BV552" s="8"/>
      <c r="BW552" s="8"/>
      <c r="BX552" s="3"/>
      <c r="BY552" s="3"/>
      <c r="BZ552" s="3"/>
      <c r="CA552" s="8"/>
      <c r="CB552" s="8"/>
      <c r="CC552" s="8"/>
      <c r="CD552" s="8"/>
      <c r="CE552" s="8"/>
      <c r="CF552" s="8"/>
      <c r="CG552" s="9"/>
      <c r="CH552" s="8"/>
      <c r="CI552" s="8"/>
      <c r="CJ552" s="8"/>
      <c r="CK552" s="8"/>
      <c r="CL552" s="8"/>
      <c r="CM552" s="8"/>
      <c r="CN552" s="8"/>
      <c r="CO552" s="8"/>
      <c r="CP552" s="8"/>
      <c r="CQ552" s="9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9"/>
      <c r="DG552" s="9"/>
      <c r="DH552" s="10"/>
      <c r="DI552" s="9"/>
      <c r="DJ552" s="9"/>
      <c r="DK552" s="3"/>
      <c r="DL552" s="3"/>
      <c r="DM552" s="3"/>
    </row>
    <row r="553" ht="11.25" customHeight="1">
      <c r="A553" s="3"/>
      <c r="B553" s="2"/>
      <c r="C553" s="3"/>
      <c r="D553" s="3"/>
      <c r="E553" s="3"/>
      <c r="F553" s="4"/>
      <c r="G553" s="4"/>
      <c r="H553" s="4"/>
      <c r="I553" s="5"/>
      <c r="J553" s="4"/>
      <c r="K553" s="4"/>
      <c r="L553" s="6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3"/>
      <c r="AL553" s="3"/>
      <c r="AM553" s="3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8"/>
      <c r="BU553" s="8"/>
      <c r="BV553" s="8"/>
      <c r="BW553" s="8"/>
      <c r="BX553" s="3"/>
      <c r="BY553" s="3"/>
      <c r="BZ553" s="3"/>
      <c r="CA553" s="8"/>
      <c r="CB553" s="8"/>
      <c r="CC553" s="8"/>
      <c r="CD553" s="8"/>
      <c r="CE553" s="8"/>
      <c r="CF553" s="8"/>
      <c r="CG553" s="9"/>
      <c r="CH553" s="8"/>
      <c r="CI553" s="8"/>
      <c r="CJ553" s="8"/>
      <c r="CK553" s="8"/>
      <c r="CL553" s="8"/>
      <c r="CM553" s="8"/>
      <c r="CN553" s="8"/>
      <c r="CO553" s="8"/>
      <c r="CP553" s="8"/>
      <c r="CQ553" s="9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9"/>
      <c r="DG553" s="9"/>
      <c r="DH553" s="10"/>
      <c r="DI553" s="9"/>
      <c r="DJ553" s="9"/>
      <c r="DK553" s="3"/>
      <c r="DL553" s="3"/>
      <c r="DM553" s="3"/>
    </row>
    <row r="554" ht="11.25" customHeight="1">
      <c r="A554" s="3"/>
      <c r="B554" s="2"/>
      <c r="C554" s="3"/>
      <c r="D554" s="3"/>
      <c r="E554" s="3"/>
      <c r="F554" s="4"/>
      <c r="G554" s="4"/>
      <c r="H554" s="4"/>
      <c r="I554" s="5"/>
      <c r="J554" s="4"/>
      <c r="K554" s="4"/>
      <c r="L554" s="6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3"/>
      <c r="AL554" s="3"/>
      <c r="AM554" s="3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8"/>
      <c r="BU554" s="8"/>
      <c r="BV554" s="8"/>
      <c r="BW554" s="8"/>
      <c r="BX554" s="3"/>
      <c r="BY554" s="3"/>
      <c r="BZ554" s="3"/>
      <c r="CA554" s="8"/>
      <c r="CB554" s="8"/>
      <c r="CC554" s="8"/>
      <c r="CD554" s="8"/>
      <c r="CE554" s="8"/>
      <c r="CF554" s="8"/>
      <c r="CG554" s="9"/>
      <c r="CH554" s="8"/>
      <c r="CI554" s="8"/>
      <c r="CJ554" s="8"/>
      <c r="CK554" s="8"/>
      <c r="CL554" s="8"/>
      <c r="CM554" s="8"/>
      <c r="CN554" s="8"/>
      <c r="CO554" s="8"/>
      <c r="CP554" s="8"/>
      <c r="CQ554" s="9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9"/>
      <c r="DG554" s="9"/>
      <c r="DH554" s="10"/>
      <c r="DI554" s="9"/>
      <c r="DJ554" s="9"/>
      <c r="DK554" s="3"/>
      <c r="DL554" s="3"/>
      <c r="DM554" s="3"/>
    </row>
    <row r="555" ht="11.25" customHeight="1">
      <c r="A555" s="3"/>
      <c r="B555" s="2"/>
      <c r="C555" s="3"/>
      <c r="D555" s="3"/>
      <c r="E555" s="3"/>
      <c r="F555" s="4"/>
      <c r="G555" s="4"/>
      <c r="H555" s="4"/>
      <c r="I555" s="5"/>
      <c r="J555" s="4"/>
      <c r="K555" s="4"/>
      <c r="L555" s="6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3"/>
      <c r="AL555" s="3"/>
      <c r="AM555" s="3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8"/>
      <c r="BU555" s="8"/>
      <c r="BV555" s="8"/>
      <c r="BW555" s="8"/>
      <c r="BX555" s="3"/>
      <c r="BY555" s="3"/>
      <c r="BZ555" s="3"/>
      <c r="CA555" s="8"/>
      <c r="CB555" s="8"/>
      <c r="CC555" s="8"/>
      <c r="CD555" s="8"/>
      <c r="CE555" s="8"/>
      <c r="CF555" s="8"/>
      <c r="CG555" s="9"/>
      <c r="CH555" s="8"/>
      <c r="CI555" s="8"/>
      <c r="CJ555" s="8"/>
      <c r="CK555" s="8"/>
      <c r="CL555" s="8"/>
      <c r="CM555" s="8"/>
      <c r="CN555" s="8"/>
      <c r="CO555" s="8"/>
      <c r="CP555" s="8"/>
      <c r="CQ555" s="9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9"/>
      <c r="DG555" s="9"/>
      <c r="DH555" s="10"/>
      <c r="DI555" s="9"/>
      <c r="DJ555" s="9"/>
      <c r="DK555" s="3"/>
      <c r="DL555" s="3"/>
      <c r="DM555" s="3"/>
    </row>
    <row r="556" ht="11.25" customHeight="1">
      <c r="A556" s="3"/>
      <c r="B556" s="2"/>
      <c r="C556" s="3"/>
      <c r="D556" s="3"/>
      <c r="E556" s="3"/>
      <c r="F556" s="4"/>
      <c r="G556" s="4"/>
      <c r="H556" s="4"/>
      <c r="I556" s="5"/>
      <c r="J556" s="4"/>
      <c r="K556" s="4"/>
      <c r="L556" s="6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3"/>
      <c r="AL556" s="3"/>
      <c r="AM556" s="3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8"/>
      <c r="BU556" s="8"/>
      <c r="BV556" s="8"/>
      <c r="BW556" s="8"/>
      <c r="BX556" s="3"/>
      <c r="BY556" s="3"/>
      <c r="BZ556" s="3"/>
      <c r="CA556" s="8"/>
      <c r="CB556" s="8"/>
      <c r="CC556" s="8"/>
      <c r="CD556" s="8"/>
      <c r="CE556" s="8"/>
      <c r="CF556" s="8"/>
      <c r="CG556" s="9"/>
      <c r="CH556" s="8"/>
      <c r="CI556" s="8"/>
      <c r="CJ556" s="8"/>
      <c r="CK556" s="8"/>
      <c r="CL556" s="8"/>
      <c r="CM556" s="8"/>
      <c r="CN556" s="8"/>
      <c r="CO556" s="8"/>
      <c r="CP556" s="8"/>
      <c r="CQ556" s="9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9"/>
      <c r="DG556" s="9"/>
      <c r="DH556" s="10"/>
      <c r="DI556" s="9"/>
      <c r="DJ556" s="9"/>
      <c r="DK556" s="3"/>
      <c r="DL556" s="3"/>
      <c r="DM556" s="3"/>
    </row>
    <row r="557" ht="11.25" customHeight="1">
      <c r="A557" s="3"/>
      <c r="B557" s="2"/>
      <c r="C557" s="3"/>
      <c r="D557" s="3"/>
      <c r="E557" s="3"/>
      <c r="F557" s="4"/>
      <c r="G557" s="4"/>
      <c r="H557" s="4"/>
      <c r="I557" s="5"/>
      <c r="J557" s="4"/>
      <c r="K557" s="4"/>
      <c r="L557" s="6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3"/>
      <c r="AL557" s="3"/>
      <c r="AM557" s="3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8"/>
      <c r="BU557" s="8"/>
      <c r="BV557" s="8"/>
      <c r="BW557" s="8"/>
      <c r="BX557" s="3"/>
      <c r="BY557" s="3"/>
      <c r="BZ557" s="3"/>
      <c r="CA557" s="8"/>
      <c r="CB557" s="8"/>
      <c r="CC557" s="8"/>
      <c r="CD557" s="8"/>
      <c r="CE557" s="8"/>
      <c r="CF557" s="8"/>
      <c r="CG557" s="9"/>
      <c r="CH557" s="8"/>
      <c r="CI557" s="8"/>
      <c r="CJ557" s="8"/>
      <c r="CK557" s="8"/>
      <c r="CL557" s="8"/>
      <c r="CM557" s="8"/>
      <c r="CN557" s="8"/>
      <c r="CO557" s="8"/>
      <c r="CP557" s="8"/>
      <c r="CQ557" s="9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9"/>
      <c r="DG557" s="9"/>
      <c r="DH557" s="10"/>
      <c r="DI557" s="9"/>
      <c r="DJ557" s="9"/>
      <c r="DK557" s="3"/>
      <c r="DL557" s="3"/>
      <c r="DM557" s="3"/>
    </row>
    <row r="558" ht="11.25" customHeight="1">
      <c r="A558" s="3"/>
      <c r="B558" s="2"/>
      <c r="C558" s="3"/>
      <c r="D558" s="3"/>
      <c r="E558" s="3"/>
      <c r="F558" s="4"/>
      <c r="G558" s="4"/>
      <c r="H558" s="4"/>
      <c r="I558" s="5"/>
      <c r="J558" s="4"/>
      <c r="K558" s="4"/>
      <c r="L558" s="6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3"/>
      <c r="AL558" s="3"/>
      <c r="AM558" s="3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8"/>
      <c r="BU558" s="8"/>
      <c r="BV558" s="8"/>
      <c r="BW558" s="8"/>
      <c r="BX558" s="3"/>
      <c r="BY558" s="3"/>
      <c r="BZ558" s="3"/>
      <c r="CA558" s="8"/>
      <c r="CB558" s="8"/>
      <c r="CC558" s="8"/>
      <c r="CD558" s="8"/>
      <c r="CE558" s="8"/>
      <c r="CF558" s="8"/>
      <c r="CG558" s="9"/>
      <c r="CH558" s="8"/>
      <c r="CI558" s="8"/>
      <c r="CJ558" s="8"/>
      <c r="CK558" s="8"/>
      <c r="CL558" s="8"/>
      <c r="CM558" s="8"/>
      <c r="CN558" s="8"/>
      <c r="CO558" s="8"/>
      <c r="CP558" s="8"/>
      <c r="CQ558" s="9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9"/>
      <c r="DG558" s="9"/>
      <c r="DH558" s="10"/>
      <c r="DI558" s="9"/>
      <c r="DJ558" s="9"/>
      <c r="DK558" s="3"/>
      <c r="DL558" s="3"/>
      <c r="DM558" s="3"/>
    </row>
    <row r="559" ht="11.25" customHeight="1">
      <c r="A559" s="3"/>
      <c r="B559" s="2"/>
      <c r="C559" s="3"/>
      <c r="D559" s="3"/>
      <c r="E559" s="3"/>
      <c r="F559" s="4"/>
      <c r="G559" s="4"/>
      <c r="H559" s="4"/>
      <c r="I559" s="5"/>
      <c r="J559" s="4"/>
      <c r="K559" s="4"/>
      <c r="L559" s="6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3"/>
      <c r="AL559" s="3"/>
      <c r="AM559" s="3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8"/>
      <c r="BU559" s="8"/>
      <c r="BV559" s="8"/>
      <c r="BW559" s="8"/>
      <c r="BX559" s="3"/>
      <c r="BY559" s="3"/>
      <c r="BZ559" s="3"/>
      <c r="CA559" s="8"/>
      <c r="CB559" s="8"/>
      <c r="CC559" s="8"/>
      <c r="CD559" s="8"/>
      <c r="CE559" s="8"/>
      <c r="CF559" s="8"/>
      <c r="CG559" s="9"/>
      <c r="CH559" s="8"/>
      <c r="CI559" s="8"/>
      <c r="CJ559" s="8"/>
      <c r="CK559" s="8"/>
      <c r="CL559" s="8"/>
      <c r="CM559" s="8"/>
      <c r="CN559" s="8"/>
      <c r="CO559" s="8"/>
      <c r="CP559" s="8"/>
      <c r="CQ559" s="9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9"/>
      <c r="DG559" s="9"/>
      <c r="DH559" s="10"/>
      <c r="DI559" s="9"/>
      <c r="DJ559" s="9"/>
      <c r="DK559" s="3"/>
      <c r="DL559" s="3"/>
      <c r="DM559" s="3"/>
    </row>
    <row r="560" ht="11.25" customHeight="1">
      <c r="A560" s="3"/>
      <c r="B560" s="2"/>
      <c r="C560" s="3"/>
      <c r="D560" s="3"/>
      <c r="E560" s="3"/>
      <c r="F560" s="4"/>
      <c r="G560" s="4"/>
      <c r="H560" s="4"/>
      <c r="I560" s="5"/>
      <c r="J560" s="4"/>
      <c r="K560" s="4"/>
      <c r="L560" s="6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3"/>
      <c r="AL560" s="3"/>
      <c r="AM560" s="3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8"/>
      <c r="BU560" s="8"/>
      <c r="BV560" s="8"/>
      <c r="BW560" s="8"/>
      <c r="BX560" s="3"/>
      <c r="BY560" s="3"/>
      <c r="BZ560" s="3"/>
      <c r="CA560" s="8"/>
      <c r="CB560" s="8"/>
      <c r="CC560" s="8"/>
      <c r="CD560" s="8"/>
      <c r="CE560" s="8"/>
      <c r="CF560" s="8"/>
      <c r="CG560" s="9"/>
      <c r="CH560" s="8"/>
      <c r="CI560" s="8"/>
      <c r="CJ560" s="8"/>
      <c r="CK560" s="8"/>
      <c r="CL560" s="8"/>
      <c r="CM560" s="8"/>
      <c r="CN560" s="8"/>
      <c r="CO560" s="8"/>
      <c r="CP560" s="8"/>
      <c r="CQ560" s="9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9"/>
      <c r="DG560" s="9"/>
      <c r="DH560" s="10"/>
      <c r="DI560" s="9"/>
      <c r="DJ560" s="9"/>
      <c r="DK560" s="3"/>
      <c r="DL560" s="3"/>
      <c r="DM560" s="3"/>
    </row>
    <row r="561" ht="11.25" customHeight="1">
      <c r="A561" s="3"/>
      <c r="B561" s="2"/>
      <c r="C561" s="3"/>
      <c r="D561" s="3"/>
      <c r="E561" s="3"/>
      <c r="F561" s="4"/>
      <c r="G561" s="4"/>
      <c r="H561" s="4"/>
      <c r="I561" s="5"/>
      <c r="J561" s="4"/>
      <c r="K561" s="4"/>
      <c r="L561" s="6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3"/>
      <c r="AL561" s="3"/>
      <c r="AM561" s="3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8"/>
      <c r="BU561" s="8"/>
      <c r="BV561" s="8"/>
      <c r="BW561" s="8"/>
      <c r="BX561" s="3"/>
      <c r="BY561" s="3"/>
      <c r="BZ561" s="3"/>
      <c r="CA561" s="8"/>
      <c r="CB561" s="8"/>
      <c r="CC561" s="8"/>
      <c r="CD561" s="8"/>
      <c r="CE561" s="8"/>
      <c r="CF561" s="8"/>
      <c r="CG561" s="9"/>
      <c r="CH561" s="8"/>
      <c r="CI561" s="8"/>
      <c r="CJ561" s="8"/>
      <c r="CK561" s="8"/>
      <c r="CL561" s="8"/>
      <c r="CM561" s="8"/>
      <c r="CN561" s="8"/>
      <c r="CO561" s="8"/>
      <c r="CP561" s="8"/>
      <c r="CQ561" s="9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9"/>
      <c r="DG561" s="9"/>
      <c r="DH561" s="10"/>
      <c r="DI561" s="9"/>
      <c r="DJ561" s="9"/>
      <c r="DK561" s="3"/>
      <c r="DL561" s="3"/>
      <c r="DM561" s="3"/>
    </row>
    <row r="562" ht="11.25" customHeight="1">
      <c r="A562" s="3"/>
      <c r="B562" s="2"/>
      <c r="C562" s="3"/>
      <c r="D562" s="3"/>
      <c r="E562" s="3"/>
      <c r="F562" s="4"/>
      <c r="G562" s="4"/>
      <c r="H562" s="4"/>
      <c r="I562" s="5"/>
      <c r="J562" s="4"/>
      <c r="K562" s="4"/>
      <c r="L562" s="6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3"/>
      <c r="AL562" s="3"/>
      <c r="AM562" s="3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8"/>
      <c r="BU562" s="8"/>
      <c r="BV562" s="8"/>
      <c r="BW562" s="8"/>
      <c r="BX562" s="3"/>
      <c r="BY562" s="3"/>
      <c r="BZ562" s="3"/>
      <c r="CA562" s="8"/>
      <c r="CB562" s="8"/>
      <c r="CC562" s="8"/>
      <c r="CD562" s="8"/>
      <c r="CE562" s="8"/>
      <c r="CF562" s="8"/>
      <c r="CG562" s="9"/>
      <c r="CH562" s="8"/>
      <c r="CI562" s="8"/>
      <c r="CJ562" s="8"/>
      <c r="CK562" s="8"/>
      <c r="CL562" s="8"/>
      <c r="CM562" s="8"/>
      <c r="CN562" s="8"/>
      <c r="CO562" s="8"/>
      <c r="CP562" s="8"/>
      <c r="CQ562" s="9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9"/>
      <c r="DG562" s="9"/>
      <c r="DH562" s="10"/>
      <c r="DI562" s="9"/>
      <c r="DJ562" s="9"/>
      <c r="DK562" s="3"/>
      <c r="DL562" s="3"/>
      <c r="DM562" s="3"/>
    </row>
    <row r="563" ht="11.25" customHeight="1">
      <c r="A563" s="3"/>
      <c r="B563" s="2"/>
      <c r="C563" s="3"/>
      <c r="D563" s="3"/>
      <c r="E563" s="3"/>
      <c r="F563" s="4"/>
      <c r="G563" s="4"/>
      <c r="H563" s="4"/>
      <c r="I563" s="5"/>
      <c r="J563" s="4"/>
      <c r="K563" s="4"/>
      <c r="L563" s="6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3"/>
      <c r="AL563" s="3"/>
      <c r="AM563" s="3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8"/>
      <c r="BU563" s="8"/>
      <c r="BV563" s="8"/>
      <c r="BW563" s="8"/>
      <c r="BX563" s="3"/>
      <c r="BY563" s="3"/>
      <c r="BZ563" s="3"/>
      <c r="CA563" s="8"/>
      <c r="CB563" s="8"/>
      <c r="CC563" s="8"/>
      <c r="CD563" s="8"/>
      <c r="CE563" s="8"/>
      <c r="CF563" s="8"/>
      <c r="CG563" s="9"/>
      <c r="CH563" s="8"/>
      <c r="CI563" s="8"/>
      <c r="CJ563" s="8"/>
      <c r="CK563" s="8"/>
      <c r="CL563" s="8"/>
      <c r="CM563" s="8"/>
      <c r="CN563" s="8"/>
      <c r="CO563" s="8"/>
      <c r="CP563" s="8"/>
      <c r="CQ563" s="9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9"/>
      <c r="DG563" s="9"/>
      <c r="DH563" s="10"/>
      <c r="DI563" s="9"/>
      <c r="DJ563" s="9"/>
      <c r="DK563" s="3"/>
      <c r="DL563" s="3"/>
      <c r="DM563" s="3"/>
    </row>
    <row r="564" ht="11.25" customHeight="1">
      <c r="A564" s="3"/>
      <c r="B564" s="2"/>
      <c r="C564" s="3"/>
      <c r="D564" s="3"/>
      <c r="E564" s="3"/>
      <c r="F564" s="4"/>
      <c r="G564" s="4"/>
      <c r="H564" s="4"/>
      <c r="I564" s="5"/>
      <c r="J564" s="4"/>
      <c r="K564" s="4"/>
      <c r="L564" s="6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3"/>
      <c r="AL564" s="3"/>
      <c r="AM564" s="3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8"/>
      <c r="BU564" s="8"/>
      <c r="BV564" s="8"/>
      <c r="BW564" s="8"/>
      <c r="BX564" s="3"/>
      <c r="BY564" s="3"/>
      <c r="BZ564" s="3"/>
      <c r="CA564" s="8"/>
      <c r="CB564" s="8"/>
      <c r="CC564" s="8"/>
      <c r="CD564" s="8"/>
      <c r="CE564" s="8"/>
      <c r="CF564" s="8"/>
      <c r="CG564" s="9"/>
      <c r="CH564" s="8"/>
      <c r="CI564" s="8"/>
      <c r="CJ564" s="8"/>
      <c r="CK564" s="8"/>
      <c r="CL564" s="8"/>
      <c r="CM564" s="8"/>
      <c r="CN564" s="8"/>
      <c r="CO564" s="8"/>
      <c r="CP564" s="8"/>
      <c r="CQ564" s="9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9"/>
      <c r="DG564" s="9"/>
      <c r="DH564" s="10"/>
      <c r="DI564" s="9"/>
      <c r="DJ564" s="9"/>
      <c r="DK564" s="3"/>
      <c r="DL564" s="3"/>
      <c r="DM564" s="3"/>
    </row>
    <row r="565" ht="11.25" customHeight="1">
      <c r="A565" s="3"/>
      <c r="B565" s="2"/>
      <c r="C565" s="3"/>
      <c r="D565" s="3"/>
      <c r="E565" s="3"/>
      <c r="F565" s="4"/>
      <c r="G565" s="4"/>
      <c r="H565" s="4"/>
      <c r="I565" s="5"/>
      <c r="J565" s="4"/>
      <c r="K565" s="4"/>
      <c r="L565" s="6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3"/>
      <c r="AL565" s="3"/>
      <c r="AM565" s="3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8"/>
      <c r="BU565" s="8"/>
      <c r="BV565" s="8"/>
      <c r="BW565" s="8"/>
      <c r="BX565" s="3"/>
      <c r="BY565" s="3"/>
      <c r="BZ565" s="3"/>
      <c r="CA565" s="8"/>
      <c r="CB565" s="8"/>
      <c r="CC565" s="8"/>
      <c r="CD565" s="8"/>
      <c r="CE565" s="8"/>
      <c r="CF565" s="8"/>
      <c r="CG565" s="9"/>
      <c r="CH565" s="8"/>
      <c r="CI565" s="8"/>
      <c r="CJ565" s="8"/>
      <c r="CK565" s="8"/>
      <c r="CL565" s="8"/>
      <c r="CM565" s="8"/>
      <c r="CN565" s="8"/>
      <c r="CO565" s="8"/>
      <c r="CP565" s="8"/>
      <c r="CQ565" s="9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8"/>
      <c r="DE565" s="8"/>
      <c r="DF565" s="9"/>
      <c r="DG565" s="9"/>
      <c r="DH565" s="10"/>
      <c r="DI565" s="9"/>
      <c r="DJ565" s="9"/>
      <c r="DK565" s="3"/>
      <c r="DL565" s="3"/>
      <c r="DM565" s="3"/>
    </row>
    <row r="566" ht="11.25" customHeight="1">
      <c r="A566" s="3"/>
      <c r="B566" s="2"/>
      <c r="C566" s="3"/>
      <c r="D566" s="3"/>
      <c r="E566" s="3"/>
      <c r="F566" s="4"/>
      <c r="G566" s="4"/>
      <c r="H566" s="4"/>
      <c r="I566" s="5"/>
      <c r="J566" s="4"/>
      <c r="K566" s="4"/>
      <c r="L566" s="6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3"/>
      <c r="AL566" s="3"/>
      <c r="AM566" s="3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8"/>
      <c r="BU566" s="8"/>
      <c r="BV566" s="8"/>
      <c r="BW566" s="8"/>
      <c r="BX566" s="3"/>
      <c r="BY566" s="3"/>
      <c r="BZ566" s="3"/>
      <c r="CA566" s="8"/>
      <c r="CB566" s="8"/>
      <c r="CC566" s="8"/>
      <c r="CD566" s="8"/>
      <c r="CE566" s="8"/>
      <c r="CF566" s="8"/>
      <c r="CG566" s="9"/>
      <c r="CH566" s="8"/>
      <c r="CI566" s="8"/>
      <c r="CJ566" s="8"/>
      <c r="CK566" s="8"/>
      <c r="CL566" s="8"/>
      <c r="CM566" s="8"/>
      <c r="CN566" s="8"/>
      <c r="CO566" s="8"/>
      <c r="CP566" s="8"/>
      <c r="CQ566" s="9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8"/>
      <c r="DE566" s="8"/>
      <c r="DF566" s="9"/>
      <c r="DG566" s="9"/>
      <c r="DH566" s="10"/>
      <c r="DI566" s="9"/>
      <c r="DJ566" s="9"/>
      <c r="DK566" s="3"/>
      <c r="DL566" s="3"/>
      <c r="DM566" s="3"/>
    </row>
    <row r="567" ht="11.25" customHeight="1">
      <c r="A567" s="3"/>
      <c r="B567" s="2"/>
      <c r="C567" s="3"/>
      <c r="D567" s="3"/>
      <c r="E567" s="3"/>
      <c r="F567" s="4"/>
      <c r="G567" s="4"/>
      <c r="H567" s="4"/>
      <c r="I567" s="5"/>
      <c r="J567" s="4"/>
      <c r="K567" s="4"/>
      <c r="L567" s="6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3"/>
      <c r="AL567" s="3"/>
      <c r="AM567" s="3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8"/>
      <c r="BU567" s="8"/>
      <c r="BV567" s="8"/>
      <c r="BW567" s="8"/>
      <c r="BX567" s="3"/>
      <c r="BY567" s="3"/>
      <c r="BZ567" s="3"/>
      <c r="CA567" s="8"/>
      <c r="CB567" s="8"/>
      <c r="CC567" s="8"/>
      <c r="CD567" s="8"/>
      <c r="CE567" s="8"/>
      <c r="CF567" s="8"/>
      <c r="CG567" s="9"/>
      <c r="CH567" s="8"/>
      <c r="CI567" s="8"/>
      <c r="CJ567" s="8"/>
      <c r="CK567" s="8"/>
      <c r="CL567" s="8"/>
      <c r="CM567" s="8"/>
      <c r="CN567" s="8"/>
      <c r="CO567" s="8"/>
      <c r="CP567" s="8"/>
      <c r="CQ567" s="9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9"/>
      <c r="DG567" s="9"/>
      <c r="DH567" s="10"/>
      <c r="DI567" s="9"/>
      <c r="DJ567" s="9"/>
      <c r="DK567" s="3"/>
      <c r="DL567" s="3"/>
      <c r="DM567" s="3"/>
    </row>
    <row r="568" ht="11.25" customHeight="1">
      <c r="A568" s="3"/>
      <c r="B568" s="2"/>
      <c r="C568" s="3"/>
      <c r="D568" s="3"/>
      <c r="E568" s="3"/>
      <c r="F568" s="4"/>
      <c r="G568" s="4"/>
      <c r="H568" s="4"/>
      <c r="I568" s="5"/>
      <c r="J568" s="4"/>
      <c r="K568" s="4"/>
      <c r="L568" s="6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3"/>
      <c r="AL568" s="3"/>
      <c r="AM568" s="3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8"/>
      <c r="BU568" s="8"/>
      <c r="BV568" s="8"/>
      <c r="BW568" s="8"/>
      <c r="BX568" s="3"/>
      <c r="BY568" s="3"/>
      <c r="BZ568" s="3"/>
      <c r="CA568" s="8"/>
      <c r="CB568" s="8"/>
      <c r="CC568" s="8"/>
      <c r="CD568" s="8"/>
      <c r="CE568" s="8"/>
      <c r="CF568" s="8"/>
      <c r="CG568" s="9"/>
      <c r="CH568" s="8"/>
      <c r="CI568" s="8"/>
      <c r="CJ568" s="8"/>
      <c r="CK568" s="8"/>
      <c r="CL568" s="8"/>
      <c r="CM568" s="8"/>
      <c r="CN568" s="8"/>
      <c r="CO568" s="8"/>
      <c r="CP568" s="8"/>
      <c r="CQ568" s="9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9"/>
      <c r="DG568" s="9"/>
      <c r="DH568" s="10"/>
      <c r="DI568" s="9"/>
      <c r="DJ568" s="9"/>
      <c r="DK568" s="3"/>
      <c r="DL568" s="3"/>
      <c r="DM568" s="3"/>
    </row>
    <row r="569" ht="11.25" customHeight="1">
      <c r="A569" s="3"/>
      <c r="B569" s="2"/>
      <c r="C569" s="3"/>
      <c r="D569" s="3"/>
      <c r="E569" s="3"/>
      <c r="F569" s="4"/>
      <c r="G569" s="4"/>
      <c r="H569" s="4"/>
      <c r="I569" s="5"/>
      <c r="J569" s="4"/>
      <c r="K569" s="4"/>
      <c r="L569" s="6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3"/>
      <c r="AL569" s="3"/>
      <c r="AM569" s="3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8"/>
      <c r="BU569" s="8"/>
      <c r="BV569" s="8"/>
      <c r="BW569" s="8"/>
      <c r="BX569" s="3"/>
      <c r="BY569" s="3"/>
      <c r="BZ569" s="3"/>
      <c r="CA569" s="8"/>
      <c r="CB569" s="8"/>
      <c r="CC569" s="8"/>
      <c r="CD569" s="8"/>
      <c r="CE569" s="8"/>
      <c r="CF569" s="8"/>
      <c r="CG569" s="9"/>
      <c r="CH569" s="8"/>
      <c r="CI569" s="8"/>
      <c r="CJ569" s="8"/>
      <c r="CK569" s="8"/>
      <c r="CL569" s="8"/>
      <c r="CM569" s="8"/>
      <c r="CN569" s="8"/>
      <c r="CO569" s="8"/>
      <c r="CP569" s="8"/>
      <c r="CQ569" s="9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9"/>
      <c r="DG569" s="9"/>
      <c r="DH569" s="10"/>
      <c r="DI569" s="9"/>
      <c r="DJ569" s="9"/>
      <c r="DK569" s="3"/>
      <c r="DL569" s="3"/>
      <c r="DM569" s="3"/>
    </row>
    <row r="570" ht="11.25" customHeight="1">
      <c r="A570" s="3"/>
      <c r="B570" s="2"/>
      <c r="C570" s="3"/>
      <c r="D570" s="3"/>
      <c r="E570" s="3"/>
      <c r="F570" s="4"/>
      <c r="G570" s="4"/>
      <c r="H570" s="4"/>
      <c r="I570" s="5"/>
      <c r="J570" s="4"/>
      <c r="K570" s="4"/>
      <c r="L570" s="6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3"/>
      <c r="AL570" s="3"/>
      <c r="AM570" s="3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8"/>
      <c r="BU570" s="8"/>
      <c r="BV570" s="8"/>
      <c r="BW570" s="8"/>
      <c r="BX570" s="3"/>
      <c r="BY570" s="3"/>
      <c r="BZ570" s="3"/>
      <c r="CA570" s="8"/>
      <c r="CB570" s="8"/>
      <c r="CC570" s="8"/>
      <c r="CD570" s="8"/>
      <c r="CE570" s="8"/>
      <c r="CF570" s="8"/>
      <c r="CG570" s="9"/>
      <c r="CH570" s="8"/>
      <c r="CI570" s="8"/>
      <c r="CJ570" s="8"/>
      <c r="CK570" s="8"/>
      <c r="CL570" s="8"/>
      <c r="CM570" s="8"/>
      <c r="CN570" s="8"/>
      <c r="CO570" s="8"/>
      <c r="CP570" s="8"/>
      <c r="CQ570" s="9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9"/>
      <c r="DG570" s="9"/>
      <c r="DH570" s="10"/>
      <c r="DI570" s="9"/>
      <c r="DJ570" s="9"/>
      <c r="DK570" s="3"/>
      <c r="DL570" s="3"/>
      <c r="DM570" s="3"/>
    </row>
    <row r="571" ht="11.25" customHeight="1">
      <c r="A571" s="3"/>
      <c r="B571" s="2"/>
      <c r="C571" s="3"/>
      <c r="D571" s="3"/>
      <c r="E571" s="3"/>
      <c r="F571" s="4"/>
      <c r="G571" s="4"/>
      <c r="H571" s="4"/>
      <c r="I571" s="5"/>
      <c r="J571" s="4"/>
      <c r="K571" s="4"/>
      <c r="L571" s="6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3"/>
      <c r="AL571" s="3"/>
      <c r="AM571" s="3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8"/>
      <c r="BU571" s="8"/>
      <c r="BV571" s="8"/>
      <c r="BW571" s="8"/>
      <c r="BX571" s="3"/>
      <c r="BY571" s="3"/>
      <c r="BZ571" s="3"/>
      <c r="CA571" s="8"/>
      <c r="CB571" s="8"/>
      <c r="CC571" s="8"/>
      <c r="CD571" s="8"/>
      <c r="CE571" s="8"/>
      <c r="CF571" s="8"/>
      <c r="CG571" s="9"/>
      <c r="CH571" s="8"/>
      <c r="CI571" s="8"/>
      <c r="CJ571" s="8"/>
      <c r="CK571" s="8"/>
      <c r="CL571" s="8"/>
      <c r="CM571" s="8"/>
      <c r="CN571" s="8"/>
      <c r="CO571" s="8"/>
      <c r="CP571" s="8"/>
      <c r="CQ571" s="9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9"/>
      <c r="DG571" s="9"/>
      <c r="DH571" s="10"/>
      <c r="DI571" s="9"/>
      <c r="DJ571" s="9"/>
      <c r="DK571" s="3"/>
      <c r="DL571" s="3"/>
      <c r="DM571" s="3"/>
    </row>
    <row r="572" ht="11.25" customHeight="1">
      <c r="A572" s="3"/>
      <c r="B572" s="2"/>
      <c r="C572" s="3"/>
      <c r="D572" s="3"/>
      <c r="E572" s="3"/>
      <c r="F572" s="4"/>
      <c r="G572" s="4"/>
      <c r="H572" s="4"/>
      <c r="I572" s="5"/>
      <c r="J572" s="4"/>
      <c r="K572" s="4"/>
      <c r="L572" s="6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3"/>
      <c r="AL572" s="3"/>
      <c r="AM572" s="3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8"/>
      <c r="BU572" s="8"/>
      <c r="BV572" s="8"/>
      <c r="BW572" s="8"/>
      <c r="BX572" s="3"/>
      <c r="BY572" s="3"/>
      <c r="BZ572" s="3"/>
      <c r="CA572" s="8"/>
      <c r="CB572" s="8"/>
      <c r="CC572" s="8"/>
      <c r="CD572" s="8"/>
      <c r="CE572" s="8"/>
      <c r="CF572" s="8"/>
      <c r="CG572" s="9"/>
      <c r="CH572" s="8"/>
      <c r="CI572" s="8"/>
      <c r="CJ572" s="8"/>
      <c r="CK572" s="8"/>
      <c r="CL572" s="8"/>
      <c r="CM572" s="8"/>
      <c r="CN572" s="8"/>
      <c r="CO572" s="8"/>
      <c r="CP572" s="8"/>
      <c r="CQ572" s="9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9"/>
      <c r="DG572" s="9"/>
      <c r="DH572" s="10"/>
      <c r="DI572" s="9"/>
      <c r="DJ572" s="9"/>
      <c r="DK572" s="3"/>
      <c r="DL572" s="3"/>
      <c r="DM572" s="3"/>
    </row>
    <row r="573" ht="11.25" customHeight="1">
      <c r="A573" s="3"/>
      <c r="B573" s="2"/>
      <c r="C573" s="3"/>
      <c r="D573" s="3"/>
      <c r="E573" s="3"/>
      <c r="F573" s="4"/>
      <c r="G573" s="4"/>
      <c r="H573" s="4"/>
      <c r="I573" s="5"/>
      <c r="J573" s="4"/>
      <c r="K573" s="4"/>
      <c r="L573" s="6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3"/>
      <c r="AL573" s="3"/>
      <c r="AM573" s="3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8"/>
      <c r="BU573" s="8"/>
      <c r="BV573" s="8"/>
      <c r="BW573" s="8"/>
      <c r="BX573" s="3"/>
      <c r="BY573" s="3"/>
      <c r="BZ573" s="3"/>
      <c r="CA573" s="8"/>
      <c r="CB573" s="8"/>
      <c r="CC573" s="8"/>
      <c r="CD573" s="8"/>
      <c r="CE573" s="8"/>
      <c r="CF573" s="8"/>
      <c r="CG573" s="9"/>
      <c r="CH573" s="8"/>
      <c r="CI573" s="8"/>
      <c r="CJ573" s="8"/>
      <c r="CK573" s="8"/>
      <c r="CL573" s="8"/>
      <c r="CM573" s="8"/>
      <c r="CN573" s="8"/>
      <c r="CO573" s="8"/>
      <c r="CP573" s="8"/>
      <c r="CQ573" s="9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9"/>
      <c r="DG573" s="9"/>
      <c r="DH573" s="10"/>
      <c r="DI573" s="9"/>
      <c r="DJ573" s="9"/>
      <c r="DK573" s="3"/>
      <c r="DL573" s="3"/>
      <c r="DM573" s="3"/>
    </row>
    <row r="574" ht="11.25" customHeight="1">
      <c r="A574" s="3"/>
      <c r="B574" s="2"/>
      <c r="C574" s="3"/>
      <c r="D574" s="3"/>
      <c r="E574" s="3"/>
      <c r="F574" s="4"/>
      <c r="G574" s="4"/>
      <c r="H574" s="4"/>
      <c r="I574" s="5"/>
      <c r="J574" s="4"/>
      <c r="K574" s="4"/>
      <c r="L574" s="6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3"/>
      <c r="AL574" s="3"/>
      <c r="AM574" s="3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8"/>
      <c r="BU574" s="8"/>
      <c r="BV574" s="8"/>
      <c r="BW574" s="8"/>
      <c r="BX574" s="3"/>
      <c r="BY574" s="3"/>
      <c r="BZ574" s="3"/>
      <c r="CA574" s="8"/>
      <c r="CB574" s="8"/>
      <c r="CC574" s="8"/>
      <c r="CD574" s="8"/>
      <c r="CE574" s="8"/>
      <c r="CF574" s="8"/>
      <c r="CG574" s="9"/>
      <c r="CH574" s="8"/>
      <c r="CI574" s="8"/>
      <c r="CJ574" s="8"/>
      <c r="CK574" s="8"/>
      <c r="CL574" s="8"/>
      <c r="CM574" s="8"/>
      <c r="CN574" s="8"/>
      <c r="CO574" s="8"/>
      <c r="CP574" s="8"/>
      <c r="CQ574" s="9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9"/>
      <c r="DG574" s="9"/>
      <c r="DH574" s="10"/>
      <c r="DI574" s="9"/>
      <c r="DJ574" s="9"/>
      <c r="DK574" s="3"/>
      <c r="DL574" s="3"/>
      <c r="DM574" s="3"/>
    </row>
    <row r="575" ht="11.25" customHeight="1">
      <c r="A575" s="3"/>
      <c r="B575" s="2"/>
      <c r="C575" s="3"/>
      <c r="D575" s="3"/>
      <c r="E575" s="3"/>
      <c r="F575" s="4"/>
      <c r="G575" s="4"/>
      <c r="H575" s="4"/>
      <c r="I575" s="5"/>
      <c r="J575" s="4"/>
      <c r="K575" s="4"/>
      <c r="L575" s="6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3"/>
      <c r="AL575" s="3"/>
      <c r="AM575" s="3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8"/>
      <c r="BU575" s="8"/>
      <c r="BV575" s="8"/>
      <c r="BW575" s="8"/>
      <c r="BX575" s="3"/>
      <c r="BY575" s="3"/>
      <c r="BZ575" s="3"/>
      <c r="CA575" s="8"/>
      <c r="CB575" s="8"/>
      <c r="CC575" s="8"/>
      <c r="CD575" s="8"/>
      <c r="CE575" s="8"/>
      <c r="CF575" s="8"/>
      <c r="CG575" s="9"/>
      <c r="CH575" s="8"/>
      <c r="CI575" s="8"/>
      <c r="CJ575" s="8"/>
      <c r="CK575" s="8"/>
      <c r="CL575" s="8"/>
      <c r="CM575" s="8"/>
      <c r="CN575" s="8"/>
      <c r="CO575" s="8"/>
      <c r="CP575" s="8"/>
      <c r="CQ575" s="9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9"/>
      <c r="DG575" s="9"/>
      <c r="DH575" s="10"/>
      <c r="DI575" s="9"/>
      <c r="DJ575" s="9"/>
      <c r="DK575" s="3"/>
      <c r="DL575" s="3"/>
      <c r="DM575" s="3"/>
    </row>
    <row r="576" ht="11.25" customHeight="1">
      <c r="A576" s="3"/>
      <c r="B576" s="2"/>
      <c r="C576" s="3"/>
      <c r="D576" s="3"/>
      <c r="E576" s="3"/>
      <c r="F576" s="4"/>
      <c r="G576" s="4"/>
      <c r="H576" s="4"/>
      <c r="I576" s="5"/>
      <c r="J576" s="4"/>
      <c r="K576" s="4"/>
      <c r="L576" s="6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3"/>
      <c r="AL576" s="3"/>
      <c r="AM576" s="3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8"/>
      <c r="BU576" s="8"/>
      <c r="BV576" s="8"/>
      <c r="BW576" s="8"/>
      <c r="BX576" s="3"/>
      <c r="BY576" s="3"/>
      <c r="BZ576" s="3"/>
      <c r="CA576" s="8"/>
      <c r="CB576" s="8"/>
      <c r="CC576" s="8"/>
      <c r="CD576" s="8"/>
      <c r="CE576" s="8"/>
      <c r="CF576" s="8"/>
      <c r="CG576" s="9"/>
      <c r="CH576" s="8"/>
      <c r="CI576" s="8"/>
      <c r="CJ576" s="8"/>
      <c r="CK576" s="8"/>
      <c r="CL576" s="8"/>
      <c r="CM576" s="8"/>
      <c r="CN576" s="8"/>
      <c r="CO576" s="8"/>
      <c r="CP576" s="8"/>
      <c r="CQ576" s="9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9"/>
      <c r="DG576" s="9"/>
      <c r="DH576" s="10"/>
      <c r="DI576" s="9"/>
      <c r="DJ576" s="9"/>
      <c r="DK576" s="3"/>
      <c r="DL576" s="3"/>
      <c r="DM576" s="3"/>
    </row>
    <row r="577" ht="11.25" customHeight="1">
      <c r="A577" s="3"/>
      <c r="B577" s="2"/>
      <c r="C577" s="3"/>
      <c r="D577" s="3"/>
      <c r="E577" s="3"/>
      <c r="F577" s="4"/>
      <c r="G577" s="4"/>
      <c r="H577" s="4"/>
      <c r="I577" s="5"/>
      <c r="J577" s="4"/>
      <c r="K577" s="4"/>
      <c r="L577" s="6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3"/>
      <c r="AL577" s="3"/>
      <c r="AM577" s="3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8"/>
      <c r="BU577" s="8"/>
      <c r="BV577" s="8"/>
      <c r="BW577" s="8"/>
      <c r="BX577" s="3"/>
      <c r="BY577" s="3"/>
      <c r="BZ577" s="3"/>
      <c r="CA577" s="8"/>
      <c r="CB577" s="8"/>
      <c r="CC577" s="8"/>
      <c r="CD577" s="8"/>
      <c r="CE577" s="8"/>
      <c r="CF577" s="8"/>
      <c r="CG577" s="9"/>
      <c r="CH577" s="8"/>
      <c r="CI577" s="8"/>
      <c r="CJ577" s="8"/>
      <c r="CK577" s="8"/>
      <c r="CL577" s="8"/>
      <c r="CM577" s="8"/>
      <c r="CN577" s="8"/>
      <c r="CO577" s="8"/>
      <c r="CP577" s="8"/>
      <c r="CQ577" s="9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9"/>
      <c r="DG577" s="9"/>
      <c r="DH577" s="10"/>
      <c r="DI577" s="9"/>
      <c r="DJ577" s="9"/>
      <c r="DK577" s="3"/>
      <c r="DL577" s="3"/>
      <c r="DM577" s="3"/>
    </row>
    <row r="578" ht="11.25" customHeight="1">
      <c r="A578" s="3"/>
      <c r="B578" s="2"/>
      <c r="C578" s="3"/>
      <c r="D578" s="3"/>
      <c r="E578" s="3"/>
      <c r="F578" s="4"/>
      <c r="G578" s="4"/>
      <c r="H578" s="4"/>
      <c r="I578" s="5"/>
      <c r="J578" s="4"/>
      <c r="K578" s="4"/>
      <c r="L578" s="6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3"/>
      <c r="AL578" s="3"/>
      <c r="AM578" s="3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8"/>
      <c r="BU578" s="8"/>
      <c r="BV578" s="8"/>
      <c r="BW578" s="8"/>
      <c r="BX578" s="3"/>
      <c r="BY578" s="3"/>
      <c r="BZ578" s="3"/>
      <c r="CA578" s="8"/>
      <c r="CB578" s="8"/>
      <c r="CC578" s="8"/>
      <c r="CD578" s="8"/>
      <c r="CE578" s="8"/>
      <c r="CF578" s="8"/>
      <c r="CG578" s="9"/>
      <c r="CH578" s="8"/>
      <c r="CI578" s="8"/>
      <c r="CJ578" s="8"/>
      <c r="CK578" s="8"/>
      <c r="CL578" s="8"/>
      <c r="CM578" s="8"/>
      <c r="CN578" s="8"/>
      <c r="CO578" s="8"/>
      <c r="CP578" s="8"/>
      <c r="CQ578" s="9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9"/>
      <c r="DG578" s="9"/>
      <c r="DH578" s="10"/>
      <c r="DI578" s="9"/>
      <c r="DJ578" s="9"/>
      <c r="DK578" s="3"/>
      <c r="DL578" s="3"/>
      <c r="DM578" s="3"/>
    </row>
    <row r="579" ht="11.25" customHeight="1">
      <c r="A579" s="3"/>
      <c r="B579" s="2"/>
      <c r="C579" s="3"/>
      <c r="D579" s="3"/>
      <c r="E579" s="3"/>
      <c r="F579" s="4"/>
      <c r="G579" s="4"/>
      <c r="H579" s="4"/>
      <c r="I579" s="5"/>
      <c r="J579" s="4"/>
      <c r="K579" s="4"/>
      <c r="L579" s="6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3"/>
      <c r="AL579" s="3"/>
      <c r="AM579" s="3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8"/>
      <c r="BU579" s="8"/>
      <c r="BV579" s="8"/>
      <c r="BW579" s="8"/>
      <c r="BX579" s="3"/>
      <c r="BY579" s="3"/>
      <c r="BZ579" s="3"/>
      <c r="CA579" s="8"/>
      <c r="CB579" s="8"/>
      <c r="CC579" s="8"/>
      <c r="CD579" s="8"/>
      <c r="CE579" s="8"/>
      <c r="CF579" s="8"/>
      <c r="CG579" s="9"/>
      <c r="CH579" s="8"/>
      <c r="CI579" s="8"/>
      <c r="CJ579" s="8"/>
      <c r="CK579" s="8"/>
      <c r="CL579" s="8"/>
      <c r="CM579" s="8"/>
      <c r="CN579" s="8"/>
      <c r="CO579" s="8"/>
      <c r="CP579" s="8"/>
      <c r="CQ579" s="9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9"/>
      <c r="DG579" s="9"/>
      <c r="DH579" s="10"/>
      <c r="DI579" s="9"/>
      <c r="DJ579" s="9"/>
      <c r="DK579" s="3"/>
      <c r="DL579" s="3"/>
      <c r="DM579" s="3"/>
    </row>
    <row r="580" ht="11.25" customHeight="1">
      <c r="A580" s="3"/>
      <c r="B580" s="2"/>
      <c r="C580" s="3"/>
      <c r="D580" s="3"/>
      <c r="E580" s="3"/>
      <c r="F580" s="4"/>
      <c r="G580" s="4"/>
      <c r="H580" s="4"/>
      <c r="I580" s="5"/>
      <c r="J580" s="4"/>
      <c r="K580" s="4"/>
      <c r="L580" s="6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3"/>
      <c r="AL580" s="3"/>
      <c r="AM580" s="3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8"/>
      <c r="BU580" s="8"/>
      <c r="BV580" s="8"/>
      <c r="BW580" s="8"/>
      <c r="BX580" s="3"/>
      <c r="BY580" s="3"/>
      <c r="BZ580" s="3"/>
      <c r="CA580" s="8"/>
      <c r="CB580" s="8"/>
      <c r="CC580" s="8"/>
      <c r="CD580" s="8"/>
      <c r="CE580" s="8"/>
      <c r="CF580" s="8"/>
      <c r="CG580" s="9"/>
      <c r="CH580" s="8"/>
      <c r="CI580" s="8"/>
      <c r="CJ580" s="8"/>
      <c r="CK580" s="8"/>
      <c r="CL580" s="8"/>
      <c r="CM580" s="8"/>
      <c r="CN580" s="8"/>
      <c r="CO580" s="8"/>
      <c r="CP580" s="8"/>
      <c r="CQ580" s="9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9"/>
      <c r="DG580" s="9"/>
      <c r="DH580" s="10"/>
      <c r="DI580" s="9"/>
      <c r="DJ580" s="9"/>
      <c r="DK580" s="3"/>
      <c r="DL580" s="3"/>
      <c r="DM580" s="3"/>
    </row>
    <row r="581" ht="11.25" customHeight="1">
      <c r="A581" s="3"/>
      <c r="B581" s="2"/>
      <c r="C581" s="3"/>
      <c r="D581" s="3"/>
      <c r="E581" s="3"/>
      <c r="F581" s="4"/>
      <c r="G581" s="4"/>
      <c r="H581" s="4"/>
      <c r="I581" s="5"/>
      <c r="J581" s="4"/>
      <c r="K581" s="4"/>
      <c r="L581" s="6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3"/>
      <c r="AL581" s="3"/>
      <c r="AM581" s="3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8"/>
      <c r="BU581" s="8"/>
      <c r="BV581" s="8"/>
      <c r="BW581" s="8"/>
      <c r="BX581" s="3"/>
      <c r="BY581" s="3"/>
      <c r="BZ581" s="3"/>
      <c r="CA581" s="8"/>
      <c r="CB581" s="8"/>
      <c r="CC581" s="8"/>
      <c r="CD581" s="8"/>
      <c r="CE581" s="8"/>
      <c r="CF581" s="8"/>
      <c r="CG581" s="9"/>
      <c r="CH581" s="8"/>
      <c r="CI581" s="8"/>
      <c r="CJ581" s="8"/>
      <c r="CK581" s="8"/>
      <c r="CL581" s="8"/>
      <c r="CM581" s="8"/>
      <c r="CN581" s="8"/>
      <c r="CO581" s="8"/>
      <c r="CP581" s="8"/>
      <c r="CQ581" s="9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9"/>
      <c r="DG581" s="9"/>
      <c r="DH581" s="10"/>
      <c r="DI581" s="9"/>
      <c r="DJ581" s="9"/>
      <c r="DK581" s="3"/>
      <c r="DL581" s="3"/>
      <c r="DM581" s="3"/>
    </row>
    <row r="582" ht="11.25" customHeight="1">
      <c r="A582" s="3"/>
      <c r="B582" s="2"/>
      <c r="C582" s="3"/>
      <c r="D582" s="3"/>
      <c r="E582" s="3"/>
      <c r="F582" s="4"/>
      <c r="G582" s="4"/>
      <c r="H582" s="4"/>
      <c r="I582" s="5"/>
      <c r="J582" s="4"/>
      <c r="K582" s="4"/>
      <c r="L582" s="6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3"/>
      <c r="AL582" s="3"/>
      <c r="AM582" s="3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8"/>
      <c r="BU582" s="8"/>
      <c r="BV582" s="8"/>
      <c r="BW582" s="8"/>
      <c r="BX582" s="3"/>
      <c r="BY582" s="3"/>
      <c r="BZ582" s="3"/>
      <c r="CA582" s="8"/>
      <c r="CB582" s="8"/>
      <c r="CC582" s="8"/>
      <c r="CD582" s="8"/>
      <c r="CE582" s="8"/>
      <c r="CF582" s="8"/>
      <c r="CG582" s="9"/>
      <c r="CH582" s="8"/>
      <c r="CI582" s="8"/>
      <c r="CJ582" s="8"/>
      <c r="CK582" s="8"/>
      <c r="CL582" s="8"/>
      <c r="CM582" s="8"/>
      <c r="CN582" s="8"/>
      <c r="CO582" s="8"/>
      <c r="CP582" s="8"/>
      <c r="CQ582" s="9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9"/>
      <c r="DG582" s="9"/>
      <c r="DH582" s="10"/>
      <c r="DI582" s="9"/>
      <c r="DJ582" s="9"/>
      <c r="DK582" s="3"/>
      <c r="DL582" s="3"/>
      <c r="DM582" s="3"/>
    </row>
    <row r="583" ht="11.25" customHeight="1">
      <c r="A583" s="3"/>
      <c r="B583" s="2"/>
      <c r="C583" s="3"/>
      <c r="D583" s="3"/>
      <c r="E583" s="3"/>
      <c r="F583" s="4"/>
      <c r="G583" s="4"/>
      <c r="H583" s="4"/>
      <c r="I583" s="5"/>
      <c r="J583" s="4"/>
      <c r="K583" s="4"/>
      <c r="L583" s="6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3"/>
      <c r="AL583" s="3"/>
      <c r="AM583" s="3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8"/>
      <c r="BU583" s="8"/>
      <c r="BV583" s="8"/>
      <c r="BW583" s="8"/>
      <c r="BX583" s="3"/>
      <c r="BY583" s="3"/>
      <c r="BZ583" s="3"/>
      <c r="CA583" s="8"/>
      <c r="CB583" s="8"/>
      <c r="CC583" s="8"/>
      <c r="CD583" s="8"/>
      <c r="CE583" s="8"/>
      <c r="CF583" s="8"/>
      <c r="CG583" s="9"/>
      <c r="CH583" s="8"/>
      <c r="CI583" s="8"/>
      <c r="CJ583" s="8"/>
      <c r="CK583" s="8"/>
      <c r="CL583" s="8"/>
      <c r="CM583" s="8"/>
      <c r="CN583" s="8"/>
      <c r="CO583" s="8"/>
      <c r="CP583" s="8"/>
      <c r="CQ583" s="9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9"/>
      <c r="DG583" s="9"/>
      <c r="DH583" s="10"/>
      <c r="DI583" s="9"/>
      <c r="DJ583" s="9"/>
      <c r="DK583" s="3"/>
      <c r="DL583" s="3"/>
      <c r="DM583" s="3"/>
    </row>
    <row r="584" ht="11.25" customHeight="1">
      <c r="A584" s="3"/>
      <c r="B584" s="2"/>
      <c r="C584" s="3"/>
      <c r="D584" s="3"/>
      <c r="E584" s="3"/>
      <c r="F584" s="4"/>
      <c r="G584" s="4"/>
      <c r="H584" s="4"/>
      <c r="I584" s="5"/>
      <c r="J584" s="4"/>
      <c r="K584" s="4"/>
      <c r="L584" s="6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3"/>
      <c r="AL584" s="3"/>
      <c r="AM584" s="3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8"/>
      <c r="BU584" s="8"/>
      <c r="BV584" s="8"/>
      <c r="BW584" s="8"/>
      <c r="BX584" s="3"/>
      <c r="BY584" s="3"/>
      <c r="BZ584" s="3"/>
      <c r="CA584" s="8"/>
      <c r="CB584" s="8"/>
      <c r="CC584" s="8"/>
      <c r="CD584" s="8"/>
      <c r="CE584" s="8"/>
      <c r="CF584" s="8"/>
      <c r="CG584" s="9"/>
      <c r="CH584" s="8"/>
      <c r="CI584" s="8"/>
      <c r="CJ584" s="8"/>
      <c r="CK584" s="8"/>
      <c r="CL584" s="8"/>
      <c r="CM584" s="8"/>
      <c r="CN584" s="8"/>
      <c r="CO584" s="8"/>
      <c r="CP584" s="8"/>
      <c r="CQ584" s="9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9"/>
      <c r="DG584" s="9"/>
      <c r="DH584" s="10"/>
      <c r="DI584" s="9"/>
      <c r="DJ584" s="9"/>
      <c r="DK584" s="3"/>
      <c r="DL584" s="3"/>
      <c r="DM584" s="3"/>
    </row>
    <row r="585" ht="11.25" customHeight="1">
      <c r="A585" s="3"/>
      <c r="B585" s="2"/>
      <c r="C585" s="3"/>
      <c r="D585" s="3"/>
      <c r="E585" s="3"/>
      <c r="F585" s="4"/>
      <c r="G585" s="4"/>
      <c r="H585" s="4"/>
      <c r="I585" s="5"/>
      <c r="J585" s="4"/>
      <c r="K585" s="4"/>
      <c r="L585" s="6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3"/>
      <c r="AL585" s="3"/>
      <c r="AM585" s="3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8"/>
      <c r="BU585" s="8"/>
      <c r="BV585" s="8"/>
      <c r="BW585" s="8"/>
      <c r="BX585" s="3"/>
      <c r="BY585" s="3"/>
      <c r="BZ585" s="3"/>
      <c r="CA585" s="8"/>
      <c r="CB585" s="8"/>
      <c r="CC585" s="8"/>
      <c r="CD585" s="8"/>
      <c r="CE585" s="8"/>
      <c r="CF585" s="8"/>
      <c r="CG585" s="9"/>
      <c r="CH585" s="8"/>
      <c r="CI585" s="8"/>
      <c r="CJ585" s="8"/>
      <c r="CK585" s="8"/>
      <c r="CL585" s="8"/>
      <c r="CM585" s="8"/>
      <c r="CN585" s="8"/>
      <c r="CO585" s="8"/>
      <c r="CP585" s="8"/>
      <c r="CQ585" s="9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9"/>
      <c r="DG585" s="9"/>
      <c r="DH585" s="10"/>
      <c r="DI585" s="9"/>
      <c r="DJ585" s="9"/>
      <c r="DK585" s="3"/>
      <c r="DL585" s="3"/>
      <c r="DM585" s="3"/>
    </row>
    <row r="586" ht="11.25" customHeight="1">
      <c r="A586" s="3"/>
      <c r="B586" s="2"/>
      <c r="C586" s="3"/>
      <c r="D586" s="3"/>
      <c r="E586" s="3"/>
      <c r="F586" s="4"/>
      <c r="G586" s="4"/>
      <c r="H586" s="4"/>
      <c r="I586" s="5"/>
      <c r="J586" s="4"/>
      <c r="K586" s="4"/>
      <c r="L586" s="6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3"/>
      <c r="AL586" s="3"/>
      <c r="AM586" s="3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8"/>
      <c r="BU586" s="8"/>
      <c r="BV586" s="8"/>
      <c r="BW586" s="8"/>
      <c r="BX586" s="3"/>
      <c r="BY586" s="3"/>
      <c r="BZ586" s="3"/>
      <c r="CA586" s="8"/>
      <c r="CB586" s="8"/>
      <c r="CC586" s="8"/>
      <c r="CD586" s="8"/>
      <c r="CE586" s="8"/>
      <c r="CF586" s="8"/>
      <c r="CG586" s="9"/>
      <c r="CH586" s="8"/>
      <c r="CI586" s="8"/>
      <c r="CJ586" s="8"/>
      <c r="CK586" s="8"/>
      <c r="CL586" s="8"/>
      <c r="CM586" s="8"/>
      <c r="CN586" s="8"/>
      <c r="CO586" s="8"/>
      <c r="CP586" s="8"/>
      <c r="CQ586" s="9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9"/>
      <c r="DG586" s="9"/>
      <c r="DH586" s="10"/>
      <c r="DI586" s="9"/>
      <c r="DJ586" s="9"/>
      <c r="DK586" s="3"/>
      <c r="DL586" s="3"/>
      <c r="DM586" s="3"/>
    </row>
    <row r="587" ht="11.25" customHeight="1">
      <c r="A587" s="3"/>
      <c r="B587" s="2"/>
      <c r="C587" s="3"/>
      <c r="D587" s="3"/>
      <c r="E587" s="3"/>
      <c r="F587" s="4"/>
      <c r="G587" s="4"/>
      <c r="H587" s="4"/>
      <c r="I587" s="5"/>
      <c r="J587" s="4"/>
      <c r="K587" s="4"/>
      <c r="L587" s="6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3"/>
      <c r="AL587" s="3"/>
      <c r="AM587" s="3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8"/>
      <c r="BU587" s="8"/>
      <c r="BV587" s="8"/>
      <c r="BW587" s="8"/>
      <c r="BX587" s="3"/>
      <c r="BY587" s="3"/>
      <c r="BZ587" s="3"/>
      <c r="CA587" s="8"/>
      <c r="CB587" s="8"/>
      <c r="CC587" s="8"/>
      <c r="CD587" s="8"/>
      <c r="CE587" s="8"/>
      <c r="CF587" s="8"/>
      <c r="CG587" s="9"/>
      <c r="CH587" s="8"/>
      <c r="CI587" s="8"/>
      <c r="CJ587" s="8"/>
      <c r="CK587" s="8"/>
      <c r="CL587" s="8"/>
      <c r="CM587" s="8"/>
      <c r="CN587" s="8"/>
      <c r="CO587" s="8"/>
      <c r="CP587" s="8"/>
      <c r="CQ587" s="9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9"/>
      <c r="DG587" s="9"/>
      <c r="DH587" s="10"/>
      <c r="DI587" s="9"/>
      <c r="DJ587" s="9"/>
      <c r="DK587" s="3"/>
      <c r="DL587" s="3"/>
      <c r="DM587" s="3"/>
    </row>
    <row r="588" ht="11.25" customHeight="1">
      <c r="A588" s="3"/>
      <c r="B588" s="2"/>
      <c r="C588" s="3"/>
      <c r="D588" s="3"/>
      <c r="E588" s="3"/>
      <c r="F588" s="4"/>
      <c r="G588" s="4"/>
      <c r="H588" s="4"/>
      <c r="I588" s="5"/>
      <c r="J588" s="4"/>
      <c r="K588" s="4"/>
      <c r="L588" s="6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3"/>
      <c r="AL588" s="3"/>
      <c r="AM588" s="3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8"/>
      <c r="BU588" s="8"/>
      <c r="BV588" s="8"/>
      <c r="BW588" s="8"/>
      <c r="BX588" s="3"/>
      <c r="BY588" s="3"/>
      <c r="BZ588" s="3"/>
      <c r="CA588" s="8"/>
      <c r="CB588" s="8"/>
      <c r="CC588" s="8"/>
      <c r="CD588" s="8"/>
      <c r="CE588" s="8"/>
      <c r="CF588" s="8"/>
      <c r="CG588" s="9"/>
      <c r="CH588" s="8"/>
      <c r="CI588" s="8"/>
      <c r="CJ588" s="8"/>
      <c r="CK588" s="8"/>
      <c r="CL588" s="8"/>
      <c r="CM588" s="8"/>
      <c r="CN588" s="8"/>
      <c r="CO588" s="8"/>
      <c r="CP588" s="8"/>
      <c r="CQ588" s="9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9"/>
      <c r="DG588" s="9"/>
      <c r="DH588" s="10"/>
      <c r="DI588" s="9"/>
      <c r="DJ588" s="9"/>
      <c r="DK588" s="3"/>
      <c r="DL588" s="3"/>
      <c r="DM588" s="3"/>
    </row>
    <row r="589" ht="11.25" customHeight="1">
      <c r="A589" s="3"/>
      <c r="B589" s="2"/>
      <c r="C589" s="3"/>
      <c r="D589" s="3"/>
      <c r="E589" s="3"/>
      <c r="F589" s="4"/>
      <c r="G589" s="4"/>
      <c r="H589" s="4"/>
      <c r="I589" s="5"/>
      <c r="J589" s="4"/>
      <c r="K589" s="4"/>
      <c r="L589" s="6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3"/>
      <c r="AL589" s="3"/>
      <c r="AM589" s="3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8"/>
      <c r="BU589" s="8"/>
      <c r="BV589" s="8"/>
      <c r="BW589" s="8"/>
      <c r="BX589" s="3"/>
      <c r="BY589" s="3"/>
      <c r="BZ589" s="3"/>
      <c r="CA589" s="8"/>
      <c r="CB589" s="8"/>
      <c r="CC589" s="8"/>
      <c r="CD589" s="8"/>
      <c r="CE589" s="8"/>
      <c r="CF589" s="8"/>
      <c r="CG589" s="9"/>
      <c r="CH589" s="8"/>
      <c r="CI589" s="8"/>
      <c r="CJ589" s="8"/>
      <c r="CK589" s="8"/>
      <c r="CL589" s="8"/>
      <c r="CM589" s="8"/>
      <c r="CN589" s="8"/>
      <c r="CO589" s="8"/>
      <c r="CP589" s="8"/>
      <c r="CQ589" s="9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9"/>
      <c r="DG589" s="9"/>
      <c r="DH589" s="10"/>
      <c r="DI589" s="9"/>
      <c r="DJ589" s="9"/>
      <c r="DK589" s="3"/>
      <c r="DL589" s="3"/>
      <c r="DM589" s="3"/>
    </row>
    <row r="590" ht="11.25" customHeight="1">
      <c r="A590" s="3"/>
      <c r="B590" s="2"/>
      <c r="C590" s="3"/>
      <c r="D590" s="3"/>
      <c r="E590" s="3"/>
      <c r="F590" s="4"/>
      <c r="G590" s="4"/>
      <c r="H590" s="4"/>
      <c r="I590" s="5"/>
      <c r="J590" s="4"/>
      <c r="K590" s="4"/>
      <c r="L590" s="6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3"/>
      <c r="AL590" s="3"/>
      <c r="AM590" s="3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8"/>
      <c r="BU590" s="8"/>
      <c r="BV590" s="8"/>
      <c r="BW590" s="8"/>
      <c r="BX590" s="3"/>
      <c r="BY590" s="3"/>
      <c r="BZ590" s="3"/>
      <c r="CA590" s="8"/>
      <c r="CB590" s="8"/>
      <c r="CC590" s="8"/>
      <c r="CD590" s="8"/>
      <c r="CE590" s="8"/>
      <c r="CF590" s="8"/>
      <c r="CG590" s="9"/>
      <c r="CH590" s="8"/>
      <c r="CI590" s="8"/>
      <c r="CJ590" s="8"/>
      <c r="CK590" s="8"/>
      <c r="CL590" s="8"/>
      <c r="CM590" s="8"/>
      <c r="CN590" s="8"/>
      <c r="CO590" s="8"/>
      <c r="CP590" s="8"/>
      <c r="CQ590" s="9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9"/>
      <c r="DG590" s="9"/>
      <c r="DH590" s="10"/>
      <c r="DI590" s="9"/>
      <c r="DJ590" s="9"/>
      <c r="DK590" s="3"/>
      <c r="DL590" s="3"/>
      <c r="DM590" s="3"/>
    </row>
    <row r="591" ht="11.25" customHeight="1">
      <c r="A591" s="3"/>
      <c r="B591" s="2"/>
      <c r="C591" s="3"/>
      <c r="D591" s="3"/>
      <c r="E591" s="3"/>
      <c r="F591" s="4"/>
      <c r="G591" s="4"/>
      <c r="H591" s="4"/>
      <c r="I591" s="5"/>
      <c r="J591" s="4"/>
      <c r="K591" s="4"/>
      <c r="L591" s="6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3"/>
      <c r="AL591" s="3"/>
      <c r="AM591" s="3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8"/>
      <c r="BU591" s="8"/>
      <c r="BV591" s="8"/>
      <c r="BW591" s="8"/>
      <c r="BX591" s="3"/>
      <c r="BY591" s="3"/>
      <c r="BZ591" s="3"/>
      <c r="CA591" s="8"/>
      <c r="CB591" s="8"/>
      <c r="CC591" s="8"/>
      <c r="CD591" s="8"/>
      <c r="CE591" s="8"/>
      <c r="CF591" s="8"/>
      <c r="CG591" s="9"/>
      <c r="CH591" s="8"/>
      <c r="CI591" s="8"/>
      <c r="CJ591" s="8"/>
      <c r="CK591" s="8"/>
      <c r="CL591" s="8"/>
      <c r="CM591" s="8"/>
      <c r="CN591" s="8"/>
      <c r="CO591" s="8"/>
      <c r="CP591" s="8"/>
      <c r="CQ591" s="9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9"/>
      <c r="DG591" s="9"/>
      <c r="DH591" s="10"/>
      <c r="DI591" s="9"/>
      <c r="DJ591" s="9"/>
      <c r="DK591" s="3"/>
      <c r="DL591" s="3"/>
      <c r="DM591" s="3"/>
    </row>
    <row r="592" ht="11.25" customHeight="1">
      <c r="A592" s="3"/>
      <c r="B592" s="2"/>
      <c r="C592" s="3"/>
      <c r="D592" s="3"/>
      <c r="E592" s="3"/>
      <c r="F592" s="4"/>
      <c r="G592" s="4"/>
      <c r="H592" s="4"/>
      <c r="I592" s="5"/>
      <c r="J592" s="4"/>
      <c r="K592" s="4"/>
      <c r="L592" s="6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3"/>
      <c r="AL592" s="3"/>
      <c r="AM592" s="3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8"/>
      <c r="BU592" s="8"/>
      <c r="BV592" s="8"/>
      <c r="BW592" s="8"/>
      <c r="BX592" s="3"/>
      <c r="BY592" s="3"/>
      <c r="BZ592" s="3"/>
      <c r="CA592" s="8"/>
      <c r="CB592" s="8"/>
      <c r="CC592" s="8"/>
      <c r="CD592" s="8"/>
      <c r="CE592" s="8"/>
      <c r="CF592" s="8"/>
      <c r="CG592" s="9"/>
      <c r="CH592" s="8"/>
      <c r="CI592" s="8"/>
      <c r="CJ592" s="8"/>
      <c r="CK592" s="8"/>
      <c r="CL592" s="8"/>
      <c r="CM592" s="8"/>
      <c r="CN592" s="8"/>
      <c r="CO592" s="8"/>
      <c r="CP592" s="8"/>
      <c r="CQ592" s="9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8"/>
      <c r="DE592" s="8"/>
      <c r="DF592" s="9"/>
      <c r="DG592" s="9"/>
      <c r="DH592" s="10"/>
      <c r="DI592" s="9"/>
      <c r="DJ592" s="9"/>
      <c r="DK592" s="3"/>
      <c r="DL592" s="3"/>
      <c r="DM592" s="3"/>
    </row>
    <row r="593" ht="11.25" customHeight="1">
      <c r="A593" s="3"/>
      <c r="B593" s="2"/>
      <c r="C593" s="3"/>
      <c r="D593" s="3"/>
      <c r="E593" s="3"/>
      <c r="F593" s="4"/>
      <c r="G593" s="4"/>
      <c r="H593" s="4"/>
      <c r="I593" s="5"/>
      <c r="J593" s="4"/>
      <c r="K593" s="4"/>
      <c r="L593" s="6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3"/>
      <c r="AL593" s="3"/>
      <c r="AM593" s="3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8"/>
      <c r="BU593" s="8"/>
      <c r="BV593" s="8"/>
      <c r="BW593" s="8"/>
      <c r="BX593" s="3"/>
      <c r="BY593" s="3"/>
      <c r="BZ593" s="3"/>
      <c r="CA593" s="8"/>
      <c r="CB593" s="8"/>
      <c r="CC593" s="8"/>
      <c r="CD593" s="8"/>
      <c r="CE593" s="8"/>
      <c r="CF593" s="8"/>
      <c r="CG593" s="9"/>
      <c r="CH593" s="8"/>
      <c r="CI593" s="8"/>
      <c r="CJ593" s="8"/>
      <c r="CK593" s="8"/>
      <c r="CL593" s="8"/>
      <c r="CM593" s="8"/>
      <c r="CN593" s="8"/>
      <c r="CO593" s="8"/>
      <c r="CP593" s="8"/>
      <c r="CQ593" s="9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8"/>
      <c r="DE593" s="8"/>
      <c r="DF593" s="9"/>
      <c r="DG593" s="9"/>
      <c r="DH593" s="10"/>
      <c r="DI593" s="9"/>
      <c r="DJ593" s="9"/>
      <c r="DK593" s="3"/>
      <c r="DL593" s="3"/>
      <c r="DM593" s="3"/>
    </row>
    <row r="594" ht="11.25" customHeight="1">
      <c r="A594" s="3"/>
      <c r="B594" s="2"/>
      <c r="C594" s="3"/>
      <c r="D594" s="3"/>
      <c r="E594" s="3"/>
      <c r="F594" s="4"/>
      <c r="G594" s="4"/>
      <c r="H594" s="4"/>
      <c r="I594" s="5"/>
      <c r="J594" s="4"/>
      <c r="K594" s="4"/>
      <c r="L594" s="6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3"/>
      <c r="AL594" s="3"/>
      <c r="AM594" s="3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8"/>
      <c r="BU594" s="8"/>
      <c r="BV594" s="8"/>
      <c r="BW594" s="8"/>
      <c r="BX594" s="3"/>
      <c r="BY594" s="3"/>
      <c r="BZ594" s="3"/>
      <c r="CA594" s="8"/>
      <c r="CB594" s="8"/>
      <c r="CC594" s="8"/>
      <c r="CD594" s="8"/>
      <c r="CE594" s="8"/>
      <c r="CF594" s="8"/>
      <c r="CG594" s="9"/>
      <c r="CH594" s="8"/>
      <c r="CI594" s="8"/>
      <c r="CJ594" s="8"/>
      <c r="CK594" s="8"/>
      <c r="CL594" s="8"/>
      <c r="CM594" s="8"/>
      <c r="CN594" s="8"/>
      <c r="CO594" s="8"/>
      <c r="CP594" s="8"/>
      <c r="CQ594" s="9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8"/>
      <c r="DE594" s="8"/>
      <c r="DF594" s="9"/>
      <c r="DG594" s="9"/>
      <c r="DH594" s="10"/>
      <c r="DI594" s="9"/>
      <c r="DJ594" s="9"/>
      <c r="DK594" s="3"/>
      <c r="DL594" s="3"/>
      <c r="DM594" s="3"/>
    </row>
    <row r="595" ht="11.25" customHeight="1">
      <c r="A595" s="3"/>
      <c r="B595" s="2"/>
      <c r="C595" s="3"/>
      <c r="D595" s="3"/>
      <c r="E595" s="3"/>
      <c r="F595" s="4"/>
      <c r="G595" s="4"/>
      <c r="H595" s="4"/>
      <c r="I595" s="5"/>
      <c r="J595" s="4"/>
      <c r="K595" s="4"/>
      <c r="L595" s="6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3"/>
      <c r="AL595" s="3"/>
      <c r="AM595" s="3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8"/>
      <c r="BU595" s="8"/>
      <c r="BV595" s="8"/>
      <c r="BW595" s="8"/>
      <c r="BX595" s="3"/>
      <c r="BY595" s="3"/>
      <c r="BZ595" s="3"/>
      <c r="CA595" s="8"/>
      <c r="CB595" s="8"/>
      <c r="CC595" s="8"/>
      <c r="CD595" s="8"/>
      <c r="CE595" s="8"/>
      <c r="CF595" s="8"/>
      <c r="CG595" s="9"/>
      <c r="CH595" s="8"/>
      <c r="CI595" s="8"/>
      <c r="CJ595" s="8"/>
      <c r="CK595" s="8"/>
      <c r="CL595" s="8"/>
      <c r="CM595" s="8"/>
      <c r="CN595" s="8"/>
      <c r="CO595" s="8"/>
      <c r="CP595" s="8"/>
      <c r="CQ595" s="9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9"/>
      <c r="DG595" s="9"/>
      <c r="DH595" s="10"/>
      <c r="DI595" s="9"/>
      <c r="DJ595" s="9"/>
      <c r="DK595" s="3"/>
      <c r="DL595" s="3"/>
      <c r="DM595" s="3"/>
    </row>
    <row r="596" ht="11.25" customHeight="1">
      <c r="A596" s="3"/>
      <c r="B596" s="2"/>
      <c r="C596" s="3"/>
      <c r="D596" s="3"/>
      <c r="E596" s="3"/>
      <c r="F596" s="4"/>
      <c r="G596" s="4"/>
      <c r="H596" s="4"/>
      <c r="I596" s="5"/>
      <c r="J596" s="4"/>
      <c r="K596" s="4"/>
      <c r="L596" s="6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3"/>
      <c r="AL596" s="3"/>
      <c r="AM596" s="3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8"/>
      <c r="BU596" s="8"/>
      <c r="BV596" s="8"/>
      <c r="BW596" s="8"/>
      <c r="BX596" s="3"/>
      <c r="BY596" s="3"/>
      <c r="BZ596" s="3"/>
      <c r="CA596" s="8"/>
      <c r="CB596" s="8"/>
      <c r="CC596" s="8"/>
      <c r="CD596" s="8"/>
      <c r="CE596" s="8"/>
      <c r="CF596" s="8"/>
      <c r="CG596" s="9"/>
      <c r="CH596" s="8"/>
      <c r="CI596" s="8"/>
      <c r="CJ596" s="8"/>
      <c r="CK596" s="8"/>
      <c r="CL596" s="8"/>
      <c r="CM596" s="8"/>
      <c r="CN596" s="8"/>
      <c r="CO596" s="8"/>
      <c r="CP596" s="8"/>
      <c r="CQ596" s="9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8"/>
      <c r="DE596" s="8"/>
      <c r="DF596" s="9"/>
      <c r="DG596" s="9"/>
      <c r="DH596" s="10"/>
      <c r="DI596" s="9"/>
      <c r="DJ596" s="9"/>
      <c r="DK596" s="3"/>
      <c r="DL596" s="3"/>
      <c r="DM596" s="3"/>
    </row>
    <row r="597" ht="11.25" customHeight="1">
      <c r="A597" s="3"/>
      <c r="B597" s="2"/>
      <c r="C597" s="3"/>
      <c r="D597" s="3"/>
      <c r="E597" s="3"/>
      <c r="F597" s="4"/>
      <c r="G597" s="4"/>
      <c r="H597" s="4"/>
      <c r="I597" s="5"/>
      <c r="J597" s="4"/>
      <c r="K597" s="4"/>
      <c r="L597" s="6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3"/>
      <c r="AL597" s="3"/>
      <c r="AM597" s="3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8"/>
      <c r="BU597" s="8"/>
      <c r="BV597" s="8"/>
      <c r="BW597" s="8"/>
      <c r="BX597" s="3"/>
      <c r="BY597" s="3"/>
      <c r="BZ597" s="3"/>
      <c r="CA597" s="8"/>
      <c r="CB597" s="8"/>
      <c r="CC597" s="8"/>
      <c r="CD597" s="8"/>
      <c r="CE597" s="8"/>
      <c r="CF597" s="8"/>
      <c r="CG597" s="9"/>
      <c r="CH597" s="8"/>
      <c r="CI597" s="8"/>
      <c r="CJ597" s="8"/>
      <c r="CK597" s="8"/>
      <c r="CL597" s="8"/>
      <c r="CM597" s="8"/>
      <c r="CN597" s="8"/>
      <c r="CO597" s="8"/>
      <c r="CP597" s="8"/>
      <c r="CQ597" s="9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9"/>
      <c r="DG597" s="9"/>
      <c r="DH597" s="10"/>
      <c r="DI597" s="9"/>
      <c r="DJ597" s="9"/>
      <c r="DK597" s="3"/>
      <c r="DL597" s="3"/>
      <c r="DM597" s="3"/>
    </row>
    <row r="598" ht="11.25" customHeight="1">
      <c r="A598" s="3"/>
      <c r="B598" s="2"/>
      <c r="C598" s="3"/>
      <c r="D598" s="3"/>
      <c r="E598" s="3"/>
      <c r="F598" s="4"/>
      <c r="G598" s="4"/>
      <c r="H598" s="4"/>
      <c r="I598" s="5"/>
      <c r="J598" s="4"/>
      <c r="K598" s="4"/>
      <c r="L598" s="6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3"/>
      <c r="AL598" s="3"/>
      <c r="AM598" s="3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8"/>
      <c r="BU598" s="8"/>
      <c r="BV598" s="8"/>
      <c r="BW598" s="8"/>
      <c r="BX598" s="3"/>
      <c r="BY598" s="3"/>
      <c r="BZ598" s="3"/>
      <c r="CA598" s="8"/>
      <c r="CB598" s="8"/>
      <c r="CC598" s="8"/>
      <c r="CD598" s="8"/>
      <c r="CE598" s="8"/>
      <c r="CF598" s="8"/>
      <c r="CG598" s="9"/>
      <c r="CH598" s="8"/>
      <c r="CI598" s="8"/>
      <c r="CJ598" s="8"/>
      <c r="CK598" s="8"/>
      <c r="CL598" s="8"/>
      <c r="CM598" s="8"/>
      <c r="CN598" s="8"/>
      <c r="CO598" s="8"/>
      <c r="CP598" s="8"/>
      <c r="CQ598" s="9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9"/>
      <c r="DG598" s="9"/>
      <c r="DH598" s="10"/>
      <c r="DI598" s="9"/>
      <c r="DJ598" s="9"/>
      <c r="DK598" s="3"/>
      <c r="DL598" s="3"/>
      <c r="DM598" s="3"/>
    </row>
    <row r="599" ht="11.25" customHeight="1">
      <c r="A599" s="3"/>
      <c r="B599" s="2"/>
      <c r="C599" s="3"/>
      <c r="D599" s="3"/>
      <c r="E599" s="3"/>
      <c r="F599" s="4"/>
      <c r="G599" s="4"/>
      <c r="H599" s="4"/>
      <c r="I599" s="5"/>
      <c r="J599" s="4"/>
      <c r="K599" s="4"/>
      <c r="L599" s="6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3"/>
      <c r="AL599" s="3"/>
      <c r="AM599" s="3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8"/>
      <c r="BU599" s="8"/>
      <c r="BV599" s="8"/>
      <c r="BW599" s="8"/>
      <c r="BX599" s="3"/>
      <c r="BY599" s="3"/>
      <c r="BZ599" s="3"/>
      <c r="CA599" s="8"/>
      <c r="CB599" s="8"/>
      <c r="CC599" s="8"/>
      <c r="CD599" s="8"/>
      <c r="CE599" s="8"/>
      <c r="CF599" s="8"/>
      <c r="CG599" s="9"/>
      <c r="CH599" s="8"/>
      <c r="CI599" s="8"/>
      <c r="CJ599" s="8"/>
      <c r="CK599" s="8"/>
      <c r="CL599" s="8"/>
      <c r="CM599" s="8"/>
      <c r="CN599" s="8"/>
      <c r="CO599" s="8"/>
      <c r="CP599" s="8"/>
      <c r="CQ599" s="9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9"/>
      <c r="DG599" s="9"/>
      <c r="DH599" s="10"/>
      <c r="DI599" s="9"/>
      <c r="DJ599" s="9"/>
      <c r="DK599" s="3"/>
      <c r="DL599" s="3"/>
      <c r="DM599" s="3"/>
    </row>
    <row r="600" ht="11.25" customHeight="1">
      <c r="A600" s="3"/>
      <c r="B600" s="2"/>
      <c r="C600" s="3"/>
      <c r="D600" s="3"/>
      <c r="E600" s="3"/>
      <c r="F600" s="4"/>
      <c r="G600" s="4"/>
      <c r="H600" s="4"/>
      <c r="I600" s="5"/>
      <c r="J600" s="4"/>
      <c r="K600" s="4"/>
      <c r="L600" s="6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3"/>
      <c r="AL600" s="3"/>
      <c r="AM600" s="3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8"/>
      <c r="BU600" s="8"/>
      <c r="BV600" s="8"/>
      <c r="BW600" s="8"/>
      <c r="BX600" s="3"/>
      <c r="BY600" s="3"/>
      <c r="BZ600" s="3"/>
      <c r="CA600" s="8"/>
      <c r="CB600" s="8"/>
      <c r="CC600" s="8"/>
      <c r="CD600" s="8"/>
      <c r="CE600" s="8"/>
      <c r="CF600" s="8"/>
      <c r="CG600" s="9"/>
      <c r="CH600" s="8"/>
      <c r="CI600" s="8"/>
      <c r="CJ600" s="8"/>
      <c r="CK600" s="8"/>
      <c r="CL600" s="8"/>
      <c r="CM600" s="8"/>
      <c r="CN600" s="8"/>
      <c r="CO600" s="8"/>
      <c r="CP600" s="8"/>
      <c r="CQ600" s="9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9"/>
      <c r="DG600" s="9"/>
      <c r="DH600" s="10"/>
      <c r="DI600" s="9"/>
      <c r="DJ600" s="9"/>
      <c r="DK600" s="3"/>
      <c r="DL600" s="3"/>
      <c r="DM600" s="3"/>
    </row>
    <row r="601" ht="11.25" customHeight="1">
      <c r="A601" s="3"/>
      <c r="B601" s="2"/>
      <c r="C601" s="3"/>
      <c r="D601" s="3"/>
      <c r="E601" s="3"/>
      <c r="F601" s="4"/>
      <c r="G601" s="4"/>
      <c r="H601" s="4"/>
      <c r="I601" s="5"/>
      <c r="J601" s="4"/>
      <c r="K601" s="4"/>
      <c r="L601" s="6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3"/>
      <c r="AL601" s="3"/>
      <c r="AM601" s="3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8"/>
      <c r="BU601" s="8"/>
      <c r="BV601" s="8"/>
      <c r="BW601" s="8"/>
      <c r="BX601" s="3"/>
      <c r="BY601" s="3"/>
      <c r="BZ601" s="3"/>
      <c r="CA601" s="8"/>
      <c r="CB601" s="8"/>
      <c r="CC601" s="8"/>
      <c r="CD601" s="8"/>
      <c r="CE601" s="8"/>
      <c r="CF601" s="8"/>
      <c r="CG601" s="9"/>
      <c r="CH601" s="8"/>
      <c r="CI601" s="8"/>
      <c r="CJ601" s="8"/>
      <c r="CK601" s="8"/>
      <c r="CL601" s="8"/>
      <c r="CM601" s="8"/>
      <c r="CN601" s="8"/>
      <c r="CO601" s="8"/>
      <c r="CP601" s="8"/>
      <c r="CQ601" s="9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9"/>
      <c r="DG601" s="9"/>
      <c r="DH601" s="10"/>
      <c r="DI601" s="9"/>
      <c r="DJ601" s="9"/>
      <c r="DK601" s="3"/>
      <c r="DL601" s="3"/>
      <c r="DM601" s="3"/>
    </row>
    <row r="602" ht="11.25" customHeight="1">
      <c r="A602" s="3"/>
      <c r="B602" s="2"/>
      <c r="C602" s="3"/>
      <c r="D602" s="3"/>
      <c r="E602" s="3"/>
      <c r="F602" s="4"/>
      <c r="G602" s="4"/>
      <c r="H602" s="4"/>
      <c r="I602" s="5"/>
      <c r="J602" s="4"/>
      <c r="K602" s="4"/>
      <c r="L602" s="6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3"/>
      <c r="AL602" s="3"/>
      <c r="AM602" s="3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8"/>
      <c r="BU602" s="8"/>
      <c r="BV602" s="8"/>
      <c r="BW602" s="8"/>
      <c r="BX602" s="3"/>
      <c r="BY602" s="3"/>
      <c r="BZ602" s="3"/>
      <c r="CA602" s="8"/>
      <c r="CB602" s="8"/>
      <c r="CC602" s="8"/>
      <c r="CD602" s="8"/>
      <c r="CE602" s="8"/>
      <c r="CF602" s="8"/>
      <c r="CG602" s="9"/>
      <c r="CH602" s="8"/>
      <c r="CI602" s="8"/>
      <c r="CJ602" s="8"/>
      <c r="CK602" s="8"/>
      <c r="CL602" s="8"/>
      <c r="CM602" s="8"/>
      <c r="CN602" s="8"/>
      <c r="CO602" s="8"/>
      <c r="CP602" s="8"/>
      <c r="CQ602" s="9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8"/>
      <c r="DE602" s="8"/>
      <c r="DF602" s="9"/>
      <c r="DG602" s="9"/>
      <c r="DH602" s="10"/>
      <c r="DI602" s="9"/>
      <c r="DJ602" s="9"/>
      <c r="DK602" s="3"/>
      <c r="DL602" s="3"/>
      <c r="DM602" s="3"/>
    </row>
    <row r="603" ht="11.25" customHeight="1">
      <c r="A603" s="3"/>
      <c r="B603" s="2"/>
      <c r="C603" s="3"/>
      <c r="D603" s="3"/>
      <c r="E603" s="3"/>
      <c r="F603" s="4"/>
      <c r="G603" s="4"/>
      <c r="H603" s="4"/>
      <c r="I603" s="5"/>
      <c r="J603" s="4"/>
      <c r="K603" s="4"/>
      <c r="L603" s="6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3"/>
      <c r="AL603" s="3"/>
      <c r="AM603" s="3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8"/>
      <c r="BU603" s="8"/>
      <c r="BV603" s="8"/>
      <c r="BW603" s="8"/>
      <c r="BX603" s="3"/>
      <c r="BY603" s="3"/>
      <c r="BZ603" s="3"/>
      <c r="CA603" s="8"/>
      <c r="CB603" s="8"/>
      <c r="CC603" s="8"/>
      <c r="CD603" s="8"/>
      <c r="CE603" s="8"/>
      <c r="CF603" s="8"/>
      <c r="CG603" s="9"/>
      <c r="CH603" s="8"/>
      <c r="CI603" s="8"/>
      <c r="CJ603" s="8"/>
      <c r="CK603" s="8"/>
      <c r="CL603" s="8"/>
      <c r="CM603" s="8"/>
      <c r="CN603" s="8"/>
      <c r="CO603" s="8"/>
      <c r="CP603" s="8"/>
      <c r="CQ603" s="9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8"/>
      <c r="DE603" s="8"/>
      <c r="DF603" s="9"/>
      <c r="DG603" s="9"/>
      <c r="DH603" s="10"/>
      <c r="DI603" s="9"/>
      <c r="DJ603" s="9"/>
      <c r="DK603" s="3"/>
      <c r="DL603" s="3"/>
      <c r="DM603" s="3"/>
    </row>
    <row r="604" ht="11.25" customHeight="1">
      <c r="A604" s="3"/>
      <c r="B604" s="2"/>
      <c r="C604" s="3"/>
      <c r="D604" s="3"/>
      <c r="E604" s="3"/>
      <c r="F604" s="4"/>
      <c r="G604" s="4"/>
      <c r="H604" s="4"/>
      <c r="I604" s="5"/>
      <c r="J604" s="4"/>
      <c r="K604" s="4"/>
      <c r="L604" s="6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3"/>
      <c r="AL604" s="3"/>
      <c r="AM604" s="3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8"/>
      <c r="BU604" s="8"/>
      <c r="BV604" s="8"/>
      <c r="BW604" s="8"/>
      <c r="BX604" s="3"/>
      <c r="BY604" s="3"/>
      <c r="BZ604" s="3"/>
      <c r="CA604" s="8"/>
      <c r="CB604" s="8"/>
      <c r="CC604" s="8"/>
      <c r="CD604" s="8"/>
      <c r="CE604" s="8"/>
      <c r="CF604" s="8"/>
      <c r="CG604" s="9"/>
      <c r="CH604" s="8"/>
      <c r="CI604" s="8"/>
      <c r="CJ604" s="8"/>
      <c r="CK604" s="8"/>
      <c r="CL604" s="8"/>
      <c r="CM604" s="8"/>
      <c r="CN604" s="8"/>
      <c r="CO604" s="8"/>
      <c r="CP604" s="8"/>
      <c r="CQ604" s="9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8"/>
      <c r="DE604" s="8"/>
      <c r="DF604" s="9"/>
      <c r="DG604" s="9"/>
      <c r="DH604" s="10"/>
      <c r="DI604" s="9"/>
      <c r="DJ604" s="9"/>
      <c r="DK604" s="3"/>
      <c r="DL604" s="3"/>
      <c r="DM604" s="3"/>
    </row>
    <row r="605" ht="11.25" customHeight="1">
      <c r="A605" s="3"/>
      <c r="B605" s="2"/>
      <c r="C605" s="3"/>
      <c r="D605" s="3"/>
      <c r="E605" s="3"/>
      <c r="F605" s="4"/>
      <c r="G605" s="4"/>
      <c r="H605" s="4"/>
      <c r="I605" s="5"/>
      <c r="J605" s="4"/>
      <c r="K605" s="4"/>
      <c r="L605" s="6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3"/>
      <c r="AL605" s="3"/>
      <c r="AM605" s="3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8"/>
      <c r="BU605" s="8"/>
      <c r="BV605" s="8"/>
      <c r="BW605" s="8"/>
      <c r="BX605" s="3"/>
      <c r="BY605" s="3"/>
      <c r="BZ605" s="3"/>
      <c r="CA605" s="8"/>
      <c r="CB605" s="8"/>
      <c r="CC605" s="8"/>
      <c r="CD605" s="8"/>
      <c r="CE605" s="8"/>
      <c r="CF605" s="8"/>
      <c r="CG605" s="9"/>
      <c r="CH605" s="8"/>
      <c r="CI605" s="8"/>
      <c r="CJ605" s="8"/>
      <c r="CK605" s="8"/>
      <c r="CL605" s="8"/>
      <c r="CM605" s="8"/>
      <c r="CN605" s="8"/>
      <c r="CO605" s="8"/>
      <c r="CP605" s="8"/>
      <c r="CQ605" s="9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8"/>
      <c r="DC605" s="8"/>
      <c r="DD605" s="8"/>
      <c r="DE605" s="8"/>
      <c r="DF605" s="9"/>
      <c r="DG605" s="9"/>
      <c r="DH605" s="10"/>
      <c r="DI605" s="9"/>
      <c r="DJ605" s="9"/>
      <c r="DK605" s="3"/>
      <c r="DL605" s="3"/>
      <c r="DM605" s="3"/>
    </row>
    <row r="606" ht="11.25" customHeight="1">
      <c r="A606" s="3"/>
      <c r="B606" s="2"/>
      <c r="C606" s="3"/>
      <c r="D606" s="3"/>
      <c r="E606" s="3"/>
      <c r="F606" s="4"/>
      <c r="G606" s="4"/>
      <c r="H606" s="4"/>
      <c r="I606" s="5"/>
      <c r="J606" s="4"/>
      <c r="K606" s="4"/>
      <c r="L606" s="6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3"/>
      <c r="AL606" s="3"/>
      <c r="AM606" s="3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8"/>
      <c r="BU606" s="8"/>
      <c r="BV606" s="8"/>
      <c r="BW606" s="8"/>
      <c r="BX606" s="3"/>
      <c r="BY606" s="3"/>
      <c r="BZ606" s="3"/>
      <c r="CA606" s="8"/>
      <c r="CB606" s="8"/>
      <c r="CC606" s="8"/>
      <c r="CD606" s="8"/>
      <c r="CE606" s="8"/>
      <c r="CF606" s="8"/>
      <c r="CG606" s="9"/>
      <c r="CH606" s="8"/>
      <c r="CI606" s="8"/>
      <c r="CJ606" s="8"/>
      <c r="CK606" s="8"/>
      <c r="CL606" s="8"/>
      <c r="CM606" s="8"/>
      <c r="CN606" s="8"/>
      <c r="CO606" s="8"/>
      <c r="CP606" s="8"/>
      <c r="CQ606" s="9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8"/>
      <c r="DC606" s="8"/>
      <c r="DD606" s="8"/>
      <c r="DE606" s="8"/>
      <c r="DF606" s="9"/>
      <c r="DG606" s="9"/>
      <c r="DH606" s="10"/>
      <c r="DI606" s="9"/>
      <c r="DJ606" s="9"/>
      <c r="DK606" s="3"/>
      <c r="DL606" s="3"/>
      <c r="DM606" s="3"/>
    </row>
    <row r="607" ht="11.25" customHeight="1">
      <c r="A607" s="3"/>
      <c r="B607" s="2"/>
      <c r="C607" s="3"/>
      <c r="D607" s="3"/>
      <c r="E607" s="3"/>
      <c r="F607" s="4"/>
      <c r="G607" s="4"/>
      <c r="H607" s="4"/>
      <c r="I607" s="5"/>
      <c r="J607" s="4"/>
      <c r="K607" s="4"/>
      <c r="L607" s="6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3"/>
      <c r="AL607" s="3"/>
      <c r="AM607" s="3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8"/>
      <c r="BU607" s="8"/>
      <c r="BV607" s="8"/>
      <c r="BW607" s="8"/>
      <c r="BX607" s="3"/>
      <c r="BY607" s="3"/>
      <c r="BZ607" s="3"/>
      <c r="CA607" s="8"/>
      <c r="CB607" s="8"/>
      <c r="CC607" s="8"/>
      <c r="CD607" s="8"/>
      <c r="CE607" s="8"/>
      <c r="CF607" s="8"/>
      <c r="CG607" s="9"/>
      <c r="CH607" s="8"/>
      <c r="CI607" s="8"/>
      <c r="CJ607" s="8"/>
      <c r="CK607" s="8"/>
      <c r="CL607" s="8"/>
      <c r="CM607" s="8"/>
      <c r="CN607" s="8"/>
      <c r="CO607" s="8"/>
      <c r="CP607" s="8"/>
      <c r="CQ607" s="9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8"/>
      <c r="DC607" s="8"/>
      <c r="DD607" s="8"/>
      <c r="DE607" s="8"/>
      <c r="DF607" s="9"/>
      <c r="DG607" s="9"/>
      <c r="DH607" s="10"/>
      <c r="DI607" s="9"/>
      <c r="DJ607" s="9"/>
      <c r="DK607" s="3"/>
      <c r="DL607" s="3"/>
      <c r="DM607" s="3"/>
    </row>
    <row r="608" ht="11.25" customHeight="1">
      <c r="A608" s="3"/>
      <c r="B608" s="2"/>
      <c r="C608" s="3"/>
      <c r="D608" s="3"/>
      <c r="E608" s="3"/>
      <c r="F608" s="4"/>
      <c r="G608" s="4"/>
      <c r="H608" s="4"/>
      <c r="I608" s="5"/>
      <c r="J608" s="4"/>
      <c r="K608" s="4"/>
      <c r="L608" s="6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3"/>
      <c r="AL608" s="3"/>
      <c r="AM608" s="3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8"/>
      <c r="BU608" s="8"/>
      <c r="BV608" s="8"/>
      <c r="BW608" s="8"/>
      <c r="BX608" s="3"/>
      <c r="BY608" s="3"/>
      <c r="BZ608" s="3"/>
      <c r="CA608" s="8"/>
      <c r="CB608" s="8"/>
      <c r="CC608" s="8"/>
      <c r="CD608" s="8"/>
      <c r="CE608" s="8"/>
      <c r="CF608" s="8"/>
      <c r="CG608" s="9"/>
      <c r="CH608" s="8"/>
      <c r="CI608" s="8"/>
      <c r="CJ608" s="8"/>
      <c r="CK608" s="8"/>
      <c r="CL608" s="8"/>
      <c r="CM608" s="8"/>
      <c r="CN608" s="8"/>
      <c r="CO608" s="8"/>
      <c r="CP608" s="8"/>
      <c r="CQ608" s="9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8"/>
      <c r="DC608" s="8"/>
      <c r="DD608" s="8"/>
      <c r="DE608" s="8"/>
      <c r="DF608" s="9"/>
      <c r="DG608" s="9"/>
      <c r="DH608" s="10"/>
      <c r="DI608" s="9"/>
      <c r="DJ608" s="9"/>
      <c r="DK608" s="3"/>
      <c r="DL608" s="3"/>
      <c r="DM608" s="3"/>
    </row>
    <row r="609" ht="11.25" customHeight="1">
      <c r="A609" s="3"/>
      <c r="B609" s="2"/>
      <c r="C609" s="3"/>
      <c r="D609" s="3"/>
      <c r="E609" s="3"/>
      <c r="F609" s="4"/>
      <c r="G609" s="4"/>
      <c r="H609" s="4"/>
      <c r="I609" s="5"/>
      <c r="J609" s="4"/>
      <c r="K609" s="4"/>
      <c r="L609" s="6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3"/>
      <c r="AL609" s="3"/>
      <c r="AM609" s="3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8"/>
      <c r="BU609" s="8"/>
      <c r="BV609" s="8"/>
      <c r="BW609" s="8"/>
      <c r="BX609" s="3"/>
      <c r="BY609" s="3"/>
      <c r="BZ609" s="3"/>
      <c r="CA609" s="8"/>
      <c r="CB609" s="8"/>
      <c r="CC609" s="8"/>
      <c r="CD609" s="8"/>
      <c r="CE609" s="8"/>
      <c r="CF609" s="8"/>
      <c r="CG609" s="9"/>
      <c r="CH609" s="8"/>
      <c r="CI609" s="8"/>
      <c r="CJ609" s="8"/>
      <c r="CK609" s="8"/>
      <c r="CL609" s="8"/>
      <c r="CM609" s="8"/>
      <c r="CN609" s="8"/>
      <c r="CO609" s="8"/>
      <c r="CP609" s="8"/>
      <c r="CQ609" s="9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8"/>
      <c r="DE609" s="8"/>
      <c r="DF609" s="9"/>
      <c r="DG609" s="9"/>
      <c r="DH609" s="10"/>
      <c r="DI609" s="9"/>
      <c r="DJ609" s="9"/>
      <c r="DK609" s="3"/>
      <c r="DL609" s="3"/>
      <c r="DM609" s="3"/>
    </row>
    <row r="610" ht="11.25" customHeight="1">
      <c r="A610" s="3"/>
      <c r="B610" s="2"/>
      <c r="C610" s="3"/>
      <c r="D610" s="3"/>
      <c r="E610" s="3"/>
      <c r="F610" s="4"/>
      <c r="G610" s="4"/>
      <c r="H610" s="4"/>
      <c r="I610" s="5"/>
      <c r="J610" s="4"/>
      <c r="K610" s="4"/>
      <c r="L610" s="6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3"/>
      <c r="AL610" s="3"/>
      <c r="AM610" s="3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8"/>
      <c r="BU610" s="8"/>
      <c r="BV610" s="8"/>
      <c r="BW610" s="8"/>
      <c r="BX610" s="3"/>
      <c r="BY610" s="3"/>
      <c r="BZ610" s="3"/>
      <c r="CA610" s="8"/>
      <c r="CB610" s="8"/>
      <c r="CC610" s="8"/>
      <c r="CD610" s="8"/>
      <c r="CE610" s="8"/>
      <c r="CF610" s="8"/>
      <c r="CG610" s="9"/>
      <c r="CH610" s="8"/>
      <c r="CI610" s="8"/>
      <c r="CJ610" s="8"/>
      <c r="CK610" s="8"/>
      <c r="CL610" s="8"/>
      <c r="CM610" s="8"/>
      <c r="CN610" s="8"/>
      <c r="CO610" s="8"/>
      <c r="CP610" s="8"/>
      <c r="CQ610" s="9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8"/>
      <c r="DE610" s="8"/>
      <c r="DF610" s="9"/>
      <c r="DG610" s="9"/>
      <c r="DH610" s="10"/>
      <c r="DI610" s="9"/>
      <c r="DJ610" s="9"/>
      <c r="DK610" s="3"/>
      <c r="DL610" s="3"/>
      <c r="DM610" s="3"/>
    </row>
    <row r="611" ht="11.25" customHeight="1">
      <c r="A611" s="3"/>
      <c r="B611" s="2"/>
      <c r="C611" s="3"/>
      <c r="D611" s="3"/>
      <c r="E611" s="3"/>
      <c r="F611" s="4"/>
      <c r="G611" s="4"/>
      <c r="H611" s="4"/>
      <c r="I611" s="5"/>
      <c r="J611" s="4"/>
      <c r="K611" s="4"/>
      <c r="L611" s="6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3"/>
      <c r="AL611" s="3"/>
      <c r="AM611" s="3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8"/>
      <c r="BU611" s="8"/>
      <c r="BV611" s="8"/>
      <c r="BW611" s="8"/>
      <c r="BX611" s="3"/>
      <c r="BY611" s="3"/>
      <c r="BZ611" s="3"/>
      <c r="CA611" s="8"/>
      <c r="CB611" s="8"/>
      <c r="CC611" s="8"/>
      <c r="CD611" s="8"/>
      <c r="CE611" s="8"/>
      <c r="CF611" s="8"/>
      <c r="CG611" s="9"/>
      <c r="CH611" s="8"/>
      <c r="CI611" s="8"/>
      <c r="CJ611" s="8"/>
      <c r="CK611" s="8"/>
      <c r="CL611" s="8"/>
      <c r="CM611" s="8"/>
      <c r="CN611" s="8"/>
      <c r="CO611" s="8"/>
      <c r="CP611" s="8"/>
      <c r="CQ611" s="9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8"/>
      <c r="DE611" s="8"/>
      <c r="DF611" s="9"/>
      <c r="DG611" s="9"/>
      <c r="DH611" s="10"/>
      <c r="DI611" s="9"/>
      <c r="DJ611" s="9"/>
      <c r="DK611" s="3"/>
      <c r="DL611" s="3"/>
      <c r="DM611" s="3"/>
    </row>
    <row r="612" ht="11.25" customHeight="1">
      <c r="A612" s="3"/>
      <c r="B612" s="2"/>
      <c r="C612" s="3"/>
      <c r="D612" s="3"/>
      <c r="E612" s="3"/>
      <c r="F612" s="4"/>
      <c r="G612" s="4"/>
      <c r="H612" s="4"/>
      <c r="I612" s="5"/>
      <c r="J612" s="4"/>
      <c r="K612" s="4"/>
      <c r="L612" s="6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3"/>
      <c r="AL612" s="3"/>
      <c r="AM612" s="3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8"/>
      <c r="BU612" s="8"/>
      <c r="BV612" s="8"/>
      <c r="BW612" s="8"/>
      <c r="BX612" s="3"/>
      <c r="BY612" s="3"/>
      <c r="BZ612" s="3"/>
      <c r="CA612" s="8"/>
      <c r="CB612" s="8"/>
      <c r="CC612" s="8"/>
      <c r="CD612" s="8"/>
      <c r="CE612" s="8"/>
      <c r="CF612" s="8"/>
      <c r="CG612" s="9"/>
      <c r="CH612" s="8"/>
      <c r="CI612" s="8"/>
      <c r="CJ612" s="8"/>
      <c r="CK612" s="8"/>
      <c r="CL612" s="8"/>
      <c r="CM612" s="8"/>
      <c r="CN612" s="8"/>
      <c r="CO612" s="8"/>
      <c r="CP612" s="8"/>
      <c r="CQ612" s="9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8"/>
      <c r="DE612" s="8"/>
      <c r="DF612" s="9"/>
      <c r="DG612" s="9"/>
      <c r="DH612" s="10"/>
      <c r="DI612" s="9"/>
      <c r="DJ612" s="9"/>
      <c r="DK612" s="3"/>
      <c r="DL612" s="3"/>
      <c r="DM612" s="3"/>
    </row>
    <row r="613" ht="11.25" customHeight="1">
      <c r="A613" s="3"/>
      <c r="B613" s="2"/>
      <c r="C613" s="3"/>
      <c r="D613" s="3"/>
      <c r="E613" s="3"/>
      <c r="F613" s="4"/>
      <c r="G613" s="4"/>
      <c r="H613" s="4"/>
      <c r="I613" s="5"/>
      <c r="J613" s="4"/>
      <c r="K613" s="4"/>
      <c r="L613" s="6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3"/>
      <c r="AL613" s="3"/>
      <c r="AM613" s="3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8"/>
      <c r="BU613" s="8"/>
      <c r="BV613" s="8"/>
      <c r="BW613" s="8"/>
      <c r="BX613" s="3"/>
      <c r="BY613" s="3"/>
      <c r="BZ613" s="3"/>
      <c r="CA613" s="8"/>
      <c r="CB613" s="8"/>
      <c r="CC613" s="8"/>
      <c r="CD613" s="8"/>
      <c r="CE613" s="8"/>
      <c r="CF613" s="8"/>
      <c r="CG613" s="9"/>
      <c r="CH613" s="8"/>
      <c r="CI613" s="8"/>
      <c r="CJ613" s="8"/>
      <c r="CK613" s="8"/>
      <c r="CL613" s="8"/>
      <c r="CM613" s="8"/>
      <c r="CN613" s="8"/>
      <c r="CO613" s="8"/>
      <c r="CP613" s="8"/>
      <c r="CQ613" s="9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8"/>
      <c r="DE613" s="8"/>
      <c r="DF613" s="9"/>
      <c r="DG613" s="9"/>
      <c r="DH613" s="10"/>
      <c r="DI613" s="9"/>
      <c r="DJ613" s="9"/>
      <c r="DK613" s="3"/>
      <c r="DL613" s="3"/>
      <c r="DM613" s="3"/>
    </row>
    <row r="614" ht="11.25" customHeight="1">
      <c r="A614" s="3"/>
      <c r="B614" s="2"/>
      <c r="C614" s="3"/>
      <c r="D614" s="3"/>
      <c r="E614" s="3"/>
      <c r="F614" s="4"/>
      <c r="G614" s="4"/>
      <c r="H614" s="4"/>
      <c r="I614" s="5"/>
      <c r="J614" s="4"/>
      <c r="K614" s="4"/>
      <c r="L614" s="6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3"/>
      <c r="AL614" s="3"/>
      <c r="AM614" s="3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8"/>
      <c r="BU614" s="8"/>
      <c r="BV614" s="8"/>
      <c r="BW614" s="8"/>
      <c r="BX614" s="3"/>
      <c r="BY614" s="3"/>
      <c r="BZ614" s="3"/>
      <c r="CA614" s="8"/>
      <c r="CB614" s="8"/>
      <c r="CC614" s="8"/>
      <c r="CD614" s="8"/>
      <c r="CE614" s="8"/>
      <c r="CF614" s="8"/>
      <c r="CG614" s="9"/>
      <c r="CH614" s="8"/>
      <c r="CI614" s="8"/>
      <c r="CJ614" s="8"/>
      <c r="CK614" s="8"/>
      <c r="CL614" s="8"/>
      <c r="CM614" s="8"/>
      <c r="CN614" s="8"/>
      <c r="CO614" s="8"/>
      <c r="CP614" s="8"/>
      <c r="CQ614" s="9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8"/>
      <c r="DE614" s="8"/>
      <c r="DF614" s="9"/>
      <c r="DG614" s="9"/>
      <c r="DH614" s="10"/>
      <c r="DI614" s="9"/>
      <c r="DJ614" s="9"/>
      <c r="DK614" s="3"/>
      <c r="DL614" s="3"/>
      <c r="DM614" s="3"/>
    </row>
    <row r="615" ht="11.25" customHeight="1">
      <c r="A615" s="3"/>
      <c r="B615" s="2"/>
      <c r="C615" s="3"/>
      <c r="D615" s="3"/>
      <c r="E615" s="3"/>
      <c r="F615" s="4"/>
      <c r="G615" s="4"/>
      <c r="H615" s="4"/>
      <c r="I615" s="5"/>
      <c r="J615" s="4"/>
      <c r="K615" s="4"/>
      <c r="L615" s="6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3"/>
      <c r="AL615" s="3"/>
      <c r="AM615" s="3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8"/>
      <c r="BU615" s="8"/>
      <c r="BV615" s="8"/>
      <c r="BW615" s="8"/>
      <c r="BX615" s="3"/>
      <c r="BY615" s="3"/>
      <c r="BZ615" s="3"/>
      <c r="CA615" s="8"/>
      <c r="CB615" s="8"/>
      <c r="CC615" s="8"/>
      <c r="CD615" s="8"/>
      <c r="CE615" s="8"/>
      <c r="CF615" s="8"/>
      <c r="CG615" s="9"/>
      <c r="CH615" s="8"/>
      <c r="CI615" s="8"/>
      <c r="CJ615" s="8"/>
      <c r="CK615" s="8"/>
      <c r="CL615" s="8"/>
      <c r="CM615" s="8"/>
      <c r="CN615" s="8"/>
      <c r="CO615" s="8"/>
      <c r="CP615" s="8"/>
      <c r="CQ615" s="9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8"/>
      <c r="DC615" s="8"/>
      <c r="DD615" s="8"/>
      <c r="DE615" s="8"/>
      <c r="DF615" s="9"/>
      <c r="DG615" s="9"/>
      <c r="DH615" s="10"/>
      <c r="DI615" s="9"/>
      <c r="DJ615" s="9"/>
      <c r="DK615" s="3"/>
      <c r="DL615" s="3"/>
      <c r="DM615" s="3"/>
    </row>
    <row r="616" ht="11.25" customHeight="1">
      <c r="A616" s="3"/>
      <c r="B616" s="2"/>
      <c r="C616" s="3"/>
      <c r="D616" s="3"/>
      <c r="E616" s="3"/>
      <c r="F616" s="4"/>
      <c r="G616" s="4"/>
      <c r="H616" s="4"/>
      <c r="I616" s="5"/>
      <c r="J616" s="4"/>
      <c r="K616" s="4"/>
      <c r="L616" s="6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3"/>
      <c r="AL616" s="3"/>
      <c r="AM616" s="3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8"/>
      <c r="BU616" s="8"/>
      <c r="BV616" s="8"/>
      <c r="BW616" s="8"/>
      <c r="BX616" s="3"/>
      <c r="BY616" s="3"/>
      <c r="BZ616" s="3"/>
      <c r="CA616" s="8"/>
      <c r="CB616" s="8"/>
      <c r="CC616" s="8"/>
      <c r="CD616" s="8"/>
      <c r="CE616" s="8"/>
      <c r="CF616" s="8"/>
      <c r="CG616" s="9"/>
      <c r="CH616" s="8"/>
      <c r="CI616" s="8"/>
      <c r="CJ616" s="8"/>
      <c r="CK616" s="8"/>
      <c r="CL616" s="8"/>
      <c r="CM616" s="8"/>
      <c r="CN616" s="8"/>
      <c r="CO616" s="8"/>
      <c r="CP616" s="8"/>
      <c r="CQ616" s="9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9"/>
      <c r="DG616" s="9"/>
      <c r="DH616" s="10"/>
      <c r="DI616" s="9"/>
      <c r="DJ616" s="9"/>
      <c r="DK616" s="3"/>
      <c r="DL616" s="3"/>
      <c r="DM616" s="3"/>
    </row>
    <row r="617" ht="11.25" customHeight="1">
      <c r="A617" s="3"/>
      <c r="B617" s="2"/>
      <c r="C617" s="3"/>
      <c r="D617" s="3"/>
      <c r="E617" s="3"/>
      <c r="F617" s="4"/>
      <c r="G617" s="4"/>
      <c r="H617" s="4"/>
      <c r="I617" s="5"/>
      <c r="J617" s="4"/>
      <c r="K617" s="4"/>
      <c r="L617" s="6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3"/>
      <c r="AL617" s="3"/>
      <c r="AM617" s="3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8"/>
      <c r="BU617" s="8"/>
      <c r="BV617" s="8"/>
      <c r="BW617" s="8"/>
      <c r="BX617" s="3"/>
      <c r="BY617" s="3"/>
      <c r="BZ617" s="3"/>
      <c r="CA617" s="8"/>
      <c r="CB617" s="8"/>
      <c r="CC617" s="8"/>
      <c r="CD617" s="8"/>
      <c r="CE617" s="8"/>
      <c r="CF617" s="8"/>
      <c r="CG617" s="9"/>
      <c r="CH617" s="8"/>
      <c r="CI617" s="8"/>
      <c r="CJ617" s="8"/>
      <c r="CK617" s="8"/>
      <c r="CL617" s="8"/>
      <c r="CM617" s="8"/>
      <c r="CN617" s="8"/>
      <c r="CO617" s="8"/>
      <c r="CP617" s="8"/>
      <c r="CQ617" s="9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8"/>
      <c r="DE617" s="8"/>
      <c r="DF617" s="9"/>
      <c r="DG617" s="9"/>
      <c r="DH617" s="10"/>
      <c r="DI617" s="9"/>
      <c r="DJ617" s="9"/>
      <c r="DK617" s="3"/>
      <c r="DL617" s="3"/>
      <c r="DM617" s="3"/>
    </row>
    <row r="618" ht="11.25" customHeight="1">
      <c r="A618" s="3"/>
      <c r="B618" s="2"/>
      <c r="C618" s="3"/>
      <c r="D618" s="3"/>
      <c r="E618" s="3"/>
      <c r="F618" s="4"/>
      <c r="G618" s="4"/>
      <c r="H618" s="4"/>
      <c r="I618" s="5"/>
      <c r="J618" s="4"/>
      <c r="K618" s="4"/>
      <c r="L618" s="6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3"/>
      <c r="AL618" s="3"/>
      <c r="AM618" s="3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8"/>
      <c r="BU618" s="8"/>
      <c r="BV618" s="8"/>
      <c r="BW618" s="8"/>
      <c r="BX618" s="3"/>
      <c r="BY618" s="3"/>
      <c r="BZ618" s="3"/>
      <c r="CA618" s="8"/>
      <c r="CB618" s="8"/>
      <c r="CC618" s="8"/>
      <c r="CD618" s="8"/>
      <c r="CE618" s="8"/>
      <c r="CF618" s="8"/>
      <c r="CG618" s="9"/>
      <c r="CH618" s="8"/>
      <c r="CI618" s="8"/>
      <c r="CJ618" s="8"/>
      <c r="CK618" s="8"/>
      <c r="CL618" s="8"/>
      <c r="CM618" s="8"/>
      <c r="CN618" s="8"/>
      <c r="CO618" s="8"/>
      <c r="CP618" s="8"/>
      <c r="CQ618" s="9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8"/>
      <c r="DE618" s="8"/>
      <c r="DF618" s="9"/>
      <c r="DG618" s="9"/>
      <c r="DH618" s="10"/>
      <c r="DI618" s="9"/>
      <c r="DJ618" s="9"/>
      <c r="DK618" s="3"/>
      <c r="DL618" s="3"/>
      <c r="DM618" s="3"/>
    </row>
    <row r="619" ht="11.25" customHeight="1">
      <c r="A619" s="3"/>
      <c r="B619" s="2"/>
      <c r="C619" s="3"/>
      <c r="D619" s="3"/>
      <c r="E619" s="3"/>
      <c r="F619" s="4"/>
      <c r="G619" s="4"/>
      <c r="H619" s="4"/>
      <c r="I619" s="5"/>
      <c r="J619" s="4"/>
      <c r="K619" s="4"/>
      <c r="L619" s="6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3"/>
      <c r="AL619" s="3"/>
      <c r="AM619" s="3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8"/>
      <c r="BU619" s="8"/>
      <c r="BV619" s="8"/>
      <c r="BW619" s="8"/>
      <c r="BX619" s="3"/>
      <c r="BY619" s="3"/>
      <c r="BZ619" s="3"/>
      <c r="CA619" s="8"/>
      <c r="CB619" s="8"/>
      <c r="CC619" s="8"/>
      <c r="CD619" s="8"/>
      <c r="CE619" s="8"/>
      <c r="CF619" s="8"/>
      <c r="CG619" s="9"/>
      <c r="CH619" s="8"/>
      <c r="CI619" s="8"/>
      <c r="CJ619" s="8"/>
      <c r="CK619" s="8"/>
      <c r="CL619" s="8"/>
      <c r="CM619" s="8"/>
      <c r="CN619" s="8"/>
      <c r="CO619" s="8"/>
      <c r="CP619" s="8"/>
      <c r="CQ619" s="9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8"/>
      <c r="DE619" s="8"/>
      <c r="DF619" s="9"/>
      <c r="DG619" s="9"/>
      <c r="DH619" s="10"/>
      <c r="DI619" s="9"/>
      <c r="DJ619" s="9"/>
      <c r="DK619" s="3"/>
      <c r="DL619" s="3"/>
      <c r="DM619" s="3"/>
    </row>
    <row r="620" ht="11.25" customHeight="1">
      <c r="A620" s="3"/>
      <c r="B620" s="2"/>
      <c r="C620" s="3"/>
      <c r="D620" s="3"/>
      <c r="E620" s="3"/>
      <c r="F620" s="4"/>
      <c r="G620" s="4"/>
      <c r="H620" s="4"/>
      <c r="I620" s="5"/>
      <c r="J620" s="4"/>
      <c r="K620" s="4"/>
      <c r="L620" s="6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3"/>
      <c r="AL620" s="3"/>
      <c r="AM620" s="3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8"/>
      <c r="BU620" s="8"/>
      <c r="BV620" s="8"/>
      <c r="BW620" s="8"/>
      <c r="BX620" s="3"/>
      <c r="BY620" s="3"/>
      <c r="BZ620" s="3"/>
      <c r="CA620" s="8"/>
      <c r="CB620" s="8"/>
      <c r="CC620" s="8"/>
      <c r="CD620" s="8"/>
      <c r="CE620" s="8"/>
      <c r="CF620" s="8"/>
      <c r="CG620" s="9"/>
      <c r="CH620" s="8"/>
      <c r="CI620" s="8"/>
      <c r="CJ620" s="8"/>
      <c r="CK620" s="8"/>
      <c r="CL620" s="8"/>
      <c r="CM620" s="8"/>
      <c r="CN620" s="8"/>
      <c r="CO620" s="8"/>
      <c r="CP620" s="8"/>
      <c r="CQ620" s="9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9"/>
      <c r="DG620" s="9"/>
      <c r="DH620" s="10"/>
      <c r="DI620" s="9"/>
      <c r="DJ620" s="9"/>
      <c r="DK620" s="3"/>
      <c r="DL620" s="3"/>
      <c r="DM620" s="3"/>
    </row>
    <row r="621" ht="11.25" customHeight="1">
      <c r="A621" s="3"/>
      <c r="B621" s="2"/>
      <c r="C621" s="3"/>
      <c r="D621" s="3"/>
      <c r="E621" s="3"/>
      <c r="F621" s="4"/>
      <c r="G621" s="4"/>
      <c r="H621" s="4"/>
      <c r="I621" s="5"/>
      <c r="J621" s="4"/>
      <c r="K621" s="4"/>
      <c r="L621" s="6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3"/>
      <c r="AL621" s="3"/>
      <c r="AM621" s="3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8"/>
      <c r="BU621" s="8"/>
      <c r="BV621" s="8"/>
      <c r="BW621" s="8"/>
      <c r="BX621" s="3"/>
      <c r="BY621" s="3"/>
      <c r="BZ621" s="3"/>
      <c r="CA621" s="8"/>
      <c r="CB621" s="8"/>
      <c r="CC621" s="8"/>
      <c r="CD621" s="8"/>
      <c r="CE621" s="8"/>
      <c r="CF621" s="8"/>
      <c r="CG621" s="9"/>
      <c r="CH621" s="8"/>
      <c r="CI621" s="8"/>
      <c r="CJ621" s="8"/>
      <c r="CK621" s="8"/>
      <c r="CL621" s="8"/>
      <c r="CM621" s="8"/>
      <c r="CN621" s="8"/>
      <c r="CO621" s="8"/>
      <c r="CP621" s="8"/>
      <c r="CQ621" s="9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8"/>
      <c r="DE621" s="8"/>
      <c r="DF621" s="9"/>
      <c r="DG621" s="9"/>
      <c r="DH621" s="10"/>
      <c r="DI621" s="9"/>
      <c r="DJ621" s="9"/>
      <c r="DK621" s="3"/>
      <c r="DL621" s="3"/>
      <c r="DM621" s="3"/>
    </row>
    <row r="622" ht="11.25" customHeight="1">
      <c r="A622" s="3"/>
      <c r="B622" s="2"/>
      <c r="C622" s="3"/>
      <c r="D622" s="3"/>
      <c r="E622" s="3"/>
      <c r="F622" s="4"/>
      <c r="G622" s="4"/>
      <c r="H622" s="4"/>
      <c r="I622" s="5"/>
      <c r="J622" s="4"/>
      <c r="K622" s="4"/>
      <c r="L622" s="6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3"/>
      <c r="AL622" s="3"/>
      <c r="AM622" s="3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8"/>
      <c r="BU622" s="8"/>
      <c r="BV622" s="8"/>
      <c r="BW622" s="8"/>
      <c r="BX622" s="3"/>
      <c r="BY622" s="3"/>
      <c r="BZ622" s="3"/>
      <c r="CA622" s="8"/>
      <c r="CB622" s="8"/>
      <c r="CC622" s="8"/>
      <c r="CD622" s="8"/>
      <c r="CE622" s="8"/>
      <c r="CF622" s="8"/>
      <c r="CG622" s="9"/>
      <c r="CH622" s="8"/>
      <c r="CI622" s="8"/>
      <c r="CJ622" s="8"/>
      <c r="CK622" s="8"/>
      <c r="CL622" s="8"/>
      <c r="CM622" s="8"/>
      <c r="CN622" s="8"/>
      <c r="CO622" s="8"/>
      <c r="CP622" s="8"/>
      <c r="CQ622" s="9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8"/>
      <c r="DE622" s="8"/>
      <c r="DF622" s="9"/>
      <c r="DG622" s="9"/>
      <c r="DH622" s="10"/>
      <c r="DI622" s="9"/>
      <c r="DJ622" s="9"/>
      <c r="DK622" s="3"/>
      <c r="DL622" s="3"/>
      <c r="DM622" s="3"/>
    </row>
    <row r="623" ht="11.25" customHeight="1">
      <c r="A623" s="3"/>
      <c r="B623" s="2"/>
      <c r="C623" s="3"/>
      <c r="D623" s="3"/>
      <c r="E623" s="3"/>
      <c r="F623" s="4"/>
      <c r="G623" s="4"/>
      <c r="H623" s="4"/>
      <c r="I623" s="5"/>
      <c r="J623" s="4"/>
      <c r="K623" s="4"/>
      <c r="L623" s="6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3"/>
      <c r="AL623" s="3"/>
      <c r="AM623" s="3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8"/>
      <c r="BU623" s="8"/>
      <c r="BV623" s="8"/>
      <c r="BW623" s="8"/>
      <c r="BX623" s="3"/>
      <c r="BY623" s="3"/>
      <c r="BZ623" s="3"/>
      <c r="CA623" s="8"/>
      <c r="CB623" s="8"/>
      <c r="CC623" s="8"/>
      <c r="CD623" s="8"/>
      <c r="CE623" s="8"/>
      <c r="CF623" s="8"/>
      <c r="CG623" s="9"/>
      <c r="CH623" s="8"/>
      <c r="CI623" s="8"/>
      <c r="CJ623" s="8"/>
      <c r="CK623" s="8"/>
      <c r="CL623" s="8"/>
      <c r="CM623" s="8"/>
      <c r="CN623" s="8"/>
      <c r="CO623" s="8"/>
      <c r="CP623" s="8"/>
      <c r="CQ623" s="9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8"/>
      <c r="DE623" s="8"/>
      <c r="DF623" s="9"/>
      <c r="DG623" s="9"/>
      <c r="DH623" s="10"/>
      <c r="DI623" s="9"/>
      <c r="DJ623" s="9"/>
      <c r="DK623" s="3"/>
      <c r="DL623" s="3"/>
      <c r="DM623" s="3"/>
    </row>
    <row r="624" ht="11.25" customHeight="1">
      <c r="A624" s="3"/>
      <c r="B624" s="2"/>
      <c r="C624" s="3"/>
      <c r="D624" s="3"/>
      <c r="E624" s="3"/>
      <c r="F624" s="4"/>
      <c r="G624" s="4"/>
      <c r="H624" s="4"/>
      <c r="I624" s="5"/>
      <c r="J624" s="4"/>
      <c r="K624" s="4"/>
      <c r="L624" s="6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3"/>
      <c r="AL624" s="3"/>
      <c r="AM624" s="3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8"/>
      <c r="BU624" s="8"/>
      <c r="BV624" s="8"/>
      <c r="BW624" s="8"/>
      <c r="BX624" s="3"/>
      <c r="BY624" s="3"/>
      <c r="BZ624" s="3"/>
      <c r="CA624" s="8"/>
      <c r="CB624" s="8"/>
      <c r="CC624" s="8"/>
      <c r="CD624" s="8"/>
      <c r="CE624" s="8"/>
      <c r="CF624" s="8"/>
      <c r="CG624" s="9"/>
      <c r="CH624" s="8"/>
      <c r="CI624" s="8"/>
      <c r="CJ624" s="8"/>
      <c r="CK624" s="8"/>
      <c r="CL624" s="8"/>
      <c r="CM624" s="8"/>
      <c r="CN624" s="8"/>
      <c r="CO624" s="8"/>
      <c r="CP624" s="8"/>
      <c r="CQ624" s="9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8"/>
      <c r="DE624" s="8"/>
      <c r="DF624" s="9"/>
      <c r="DG624" s="9"/>
      <c r="DH624" s="10"/>
      <c r="DI624" s="9"/>
      <c r="DJ624" s="9"/>
      <c r="DK624" s="3"/>
      <c r="DL624" s="3"/>
      <c r="DM624" s="3"/>
    </row>
    <row r="625" ht="11.25" customHeight="1">
      <c r="A625" s="3"/>
      <c r="B625" s="2"/>
      <c r="C625" s="3"/>
      <c r="D625" s="3"/>
      <c r="E625" s="3"/>
      <c r="F625" s="4"/>
      <c r="G625" s="4"/>
      <c r="H625" s="4"/>
      <c r="I625" s="5"/>
      <c r="J625" s="4"/>
      <c r="K625" s="4"/>
      <c r="L625" s="6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3"/>
      <c r="AL625" s="3"/>
      <c r="AM625" s="3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8"/>
      <c r="BU625" s="8"/>
      <c r="BV625" s="8"/>
      <c r="BW625" s="8"/>
      <c r="BX625" s="3"/>
      <c r="BY625" s="3"/>
      <c r="BZ625" s="3"/>
      <c r="CA625" s="8"/>
      <c r="CB625" s="8"/>
      <c r="CC625" s="8"/>
      <c r="CD625" s="8"/>
      <c r="CE625" s="8"/>
      <c r="CF625" s="8"/>
      <c r="CG625" s="9"/>
      <c r="CH625" s="8"/>
      <c r="CI625" s="8"/>
      <c r="CJ625" s="8"/>
      <c r="CK625" s="8"/>
      <c r="CL625" s="8"/>
      <c r="CM625" s="8"/>
      <c r="CN625" s="8"/>
      <c r="CO625" s="8"/>
      <c r="CP625" s="8"/>
      <c r="CQ625" s="9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8"/>
      <c r="DE625" s="8"/>
      <c r="DF625" s="9"/>
      <c r="DG625" s="9"/>
      <c r="DH625" s="10"/>
      <c r="DI625" s="9"/>
      <c r="DJ625" s="9"/>
      <c r="DK625" s="3"/>
      <c r="DL625" s="3"/>
      <c r="DM625" s="3"/>
    </row>
    <row r="626" ht="11.25" customHeight="1">
      <c r="A626" s="3"/>
      <c r="B626" s="2"/>
      <c r="C626" s="3"/>
      <c r="D626" s="3"/>
      <c r="E626" s="3"/>
      <c r="F626" s="4"/>
      <c r="G626" s="4"/>
      <c r="H626" s="4"/>
      <c r="I626" s="5"/>
      <c r="J626" s="4"/>
      <c r="K626" s="4"/>
      <c r="L626" s="6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3"/>
      <c r="AL626" s="3"/>
      <c r="AM626" s="3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8"/>
      <c r="BU626" s="8"/>
      <c r="BV626" s="8"/>
      <c r="BW626" s="8"/>
      <c r="BX626" s="3"/>
      <c r="BY626" s="3"/>
      <c r="BZ626" s="3"/>
      <c r="CA626" s="8"/>
      <c r="CB626" s="8"/>
      <c r="CC626" s="8"/>
      <c r="CD626" s="8"/>
      <c r="CE626" s="8"/>
      <c r="CF626" s="8"/>
      <c r="CG626" s="9"/>
      <c r="CH626" s="8"/>
      <c r="CI626" s="8"/>
      <c r="CJ626" s="8"/>
      <c r="CK626" s="8"/>
      <c r="CL626" s="8"/>
      <c r="CM626" s="8"/>
      <c r="CN626" s="8"/>
      <c r="CO626" s="8"/>
      <c r="CP626" s="8"/>
      <c r="CQ626" s="9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8"/>
      <c r="DE626" s="8"/>
      <c r="DF626" s="9"/>
      <c r="DG626" s="9"/>
      <c r="DH626" s="10"/>
      <c r="DI626" s="9"/>
      <c r="DJ626" s="9"/>
      <c r="DK626" s="3"/>
      <c r="DL626" s="3"/>
      <c r="DM626" s="3"/>
    </row>
    <row r="627" ht="11.25" customHeight="1">
      <c r="A627" s="3"/>
      <c r="B627" s="2"/>
      <c r="C627" s="3"/>
      <c r="D627" s="3"/>
      <c r="E627" s="3"/>
      <c r="F627" s="4"/>
      <c r="G627" s="4"/>
      <c r="H627" s="4"/>
      <c r="I627" s="5"/>
      <c r="J627" s="4"/>
      <c r="K627" s="4"/>
      <c r="L627" s="6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3"/>
      <c r="AL627" s="3"/>
      <c r="AM627" s="3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8"/>
      <c r="BU627" s="8"/>
      <c r="BV627" s="8"/>
      <c r="BW627" s="8"/>
      <c r="BX627" s="3"/>
      <c r="BY627" s="3"/>
      <c r="BZ627" s="3"/>
      <c r="CA627" s="8"/>
      <c r="CB627" s="8"/>
      <c r="CC627" s="8"/>
      <c r="CD627" s="8"/>
      <c r="CE627" s="8"/>
      <c r="CF627" s="8"/>
      <c r="CG627" s="9"/>
      <c r="CH627" s="8"/>
      <c r="CI627" s="8"/>
      <c r="CJ627" s="8"/>
      <c r="CK627" s="8"/>
      <c r="CL627" s="8"/>
      <c r="CM627" s="8"/>
      <c r="CN627" s="8"/>
      <c r="CO627" s="8"/>
      <c r="CP627" s="8"/>
      <c r="CQ627" s="9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8"/>
      <c r="DE627" s="8"/>
      <c r="DF627" s="9"/>
      <c r="DG627" s="9"/>
      <c r="DH627" s="10"/>
      <c r="DI627" s="9"/>
      <c r="DJ627" s="9"/>
      <c r="DK627" s="3"/>
      <c r="DL627" s="3"/>
      <c r="DM627" s="3"/>
    </row>
    <row r="628" ht="11.25" customHeight="1">
      <c r="A628" s="3"/>
      <c r="B628" s="2"/>
      <c r="C628" s="3"/>
      <c r="D628" s="3"/>
      <c r="E628" s="3"/>
      <c r="F628" s="4"/>
      <c r="G628" s="4"/>
      <c r="H628" s="4"/>
      <c r="I628" s="5"/>
      <c r="J628" s="4"/>
      <c r="K628" s="4"/>
      <c r="L628" s="6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3"/>
      <c r="AL628" s="3"/>
      <c r="AM628" s="3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8"/>
      <c r="BU628" s="8"/>
      <c r="BV628" s="8"/>
      <c r="BW628" s="8"/>
      <c r="BX628" s="3"/>
      <c r="BY628" s="3"/>
      <c r="BZ628" s="3"/>
      <c r="CA628" s="8"/>
      <c r="CB628" s="8"/>
      <c r="CC628" s="8"/>
      <c r="CD628" s="8"/>
      <c r="CE628" s="8"/>
      <c r="CF628" s="8"/>
      <c r="CG628" s="9"/>
      <c r="CH628" s="8"/>
      <c r="CI628" s="8"/>
      <c r="CJ628" s="8"/>
      <c r="CK628" s="8"/>
      <c r="CL628" s="8"/>
      <c r="CM628" s="8"/>
      <c r="CN628" s="8"/>
      <c r="CO628" s="8"/>
      <c r="CP628" s="8"/>
      <c r="CQ628" s="9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8"/>
      <c r="DE628" s="8"/>
      <c r="DF628" s="9"/>
      <c r="DG628" s="9"/>
      <c r="DH628" s="10"/>
      <c r="DI628" s="9"/>
      <c r="DJ628" s="9"/>
      <c r="DK628" s="3"/>
      <c r="DL628" s="3"/>
      <c r="DM628" s="3"/>
    </row>
    <row r="629" ht="11.25" customHeight="1">
      <c r="A629" s="3"/>
      <c r="B629" s="2"/>
      <c r="C629" s="3"/>
      <c r="D629" s="3"/>
      <c r="E629" s="3"/>
      <c r="F629" s="4"/>
      <c r="G629" s="4"/>
      <c r="H629" s="4"/>
      <c r="I629" s="5"/>
      <c r="J629" s="4"/>
      <c r="K629" s="4"/>
      <c r="L629" s="6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3"/>
      <c r="AL629" s="3"/>
      <c r="AM629" s="3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8"/>
      <c r="BU629" s="8"/>
      <c r="BV629" s="8"/>
      <c r="BW629" s="8"/>
      <c r="BX629" s="3"/>
      <c r="BY629" s="3"/>
      <c r="BZ629" s="3"/>
      <c r="CA629" s="8"/>
      <c r="CB629" s="8"/>
      <c r="CC629" s="8"/>
      <c r="CD629" s="8"/>
      <c r="CE629" s="8"/>
      <c r="CF629" s="8"/>
      <c r="CG629" s="9"/>
      <c r="CH629" s="8"/>
      <c r="CI629" s="8"/>
      <c r="CJ629" s="8"/>
      <c r="CK629" s="8"/>
      <c r="CL629" s="8"/>
      <c r="CM629" s="8"/>
      <c r="CN629" s="8"/>
      <c r="CO629" s="8"/>
      <c r="CP629" s="8"/>
      <c r="CQ629" s="9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8"/>
      <c r="DE629" s="8"/>
      <c r="DF629" s="9"/>
      <c r="DG629" s="9"/>
      <c r="DH629" s="10"/>
      <c r="DI629" s="9"/>
      <c r="DJ629" s="9"/>
      <c r="DK629" s="3"/>
      <c r="DL629" s="3"/>
      <c r="DM629" s="3"/>
    </row>
    <row r="630" ht="11.25" customHeight="1">
      <c r="A630" s="3"/>
      <c r="B630" s="2"/>
      <c r="C630" s="3"/>
      <c r="D630" s="3"/>
      <c r="E630" s="3"/>
      <c r="F630" s="4"/>
      <c r="G630" s="4"/>
      <c r="H630" s="4"/>
      <c r="I630" s="5"/>
      <c r="J630" s="4"/>
      <c r="K630" s="4"/>
      <c r="L630" s="6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3"/>
      <c r="AL630" s="3"/>
      <c r="AM630" s="3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8"/>
      <c r="BU630" s="8"/>
      <c r="BV630" s="8"/>
      <c r="BW630" s="8"/>
      <c r="BX630" s="3"/>
      <c r="BY630" s="3"/>
      <c r="BZ630" s="3"/>
      <c r="CA630" s="8"/>
      <c r="CB630" s="8"/>
      <c r="CC630" s="8"/>
      <c r="CD630" s="8"/>
      <c r="CE630" s="8"/>
      <c r="CF630" s="8"/>
      <c r="CG630" s="9"/>
      <c r="CH630" s="8"/>
      <c r="CI630" s="8"/>
      <c r="CJ630" s="8"/>
      <c r="CK630" s="8"/>
      <c r="CL630" s="8"/>
      <c r="CM630" s="8"/>
      <c r="CN630" s="8"/>
      <c r="CO630" s="8"/>
      <c r="CP630" s="8"/>
      <c r="CQ630" s="9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8"/>
      <c r="DE630" s="8"/>
      <c r="DF630" s="9"/>
      <c r="DG630" s="9"/>
      <c r="DH630" s="10"/>
      <c r="DI630" s="9"/>
      <c r="DJ630" s="9"/>
      <c r="DK630" s="3"/>
      <c r="DL630" s="3"/>
      <c r="DM630" s="3"/>
    </row>
    <row r="631" ht="11.25" customHeight="1">
      <c r="A631" s="3"/>
      <c r="B631" s="2"/>
      <c r="C631" s="3"/>
      <c r="D631" s="3"/>
      <c r="E631" s="3"/>
      <c r="F631" s="4"/>
      <c r="G631" s="4"/>
      <c r="H631" s="4"/>
      <c r="I631" s="5"/>
      <c r="J631" s="4"/>
      <c r="K631" s="4"/>
      <c r="L631" s="6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3"/>
      <c r="AL631" s="3"/>
      <c r="AM631" s="3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8"/>
      <c r="BU631" s="8"/>
      <c r="BV631" s="8"/>
      <c r="BW631" s="8"/>
      <c r="BX631" s="3"/>
      <c r="BY631" s="3"/>
      <c r="BZ631" s="3"/>
      <c r="CA631" s="8"/>
      <c r="CB631" s="8"/>
      <c r="CC631" s="8"/>
      <c r="CD631" s="8"/>
      <c r="CE631" s="8"/>
      <c r="CF631" s="8"/>
      <c r="CG631" s="9"/>
      <c r="CH631" s="8"/>
      <c r="CI631" s="8"/>
      <c r="CJ631" s="8"/>
      <c r="CK631" s="8"/>
      <c r="CL631" s="8"/>
      <c r="CM631" s="8"/>
      <c r="CN631" s="8"/>
      <c r="CO631" s="8"/>
      <c r="CP631" s="8"/>
      <c r="CQ631" s="9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8"/>
      <c r="DE631" s="8"/>
      <c r="DF631" s="9"/>
      <c r="DG631" s="9"/>
      <c r="DH631" s="10"/>
      <c r="DI631" s="9"/>
      <c r="DJ631" s="9"/>
      <c r="DK631" s="3"/>
      <c r="DL631" s="3"/>
      <c r="DM631" s="3"/>
    </row>
    <row r="632" ht="11.25" customHeight="1">
      <c r="A632" s="3"/>
      <c r="B632" s="2"/>
      <c r="C632" s="3"/>
      <c r="D632" s="3"/>
      <c r="E632" s="3"/>
      <c r="F632" s="4"/>
      <c r="G632" s="4"/>
      <c r="H632" s="4"/>
      <c r="I632" s="5"/>
      <c r="J632" s="4"/>
      <c r="K632" s="4"/>
      <c r="L632" s="6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3"/>
      <c r="AL632" s="3"/>
      <c r="AM632" s="3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8"/>
      <c r="BU632" s="8"/>
      <c r="BV632" s="8"/>
      <c r="BW632" s="8"/>
      <c r="BX632" s="3"/>
      <c r="BY632" s="3"/>
      <c r="BZ632" s="3"/>
      <c r="CA632" s="8"/>
      <c r="CB632" s="8"/>
      <c r="CC632" s="8"/>
      <c r="CD632" s="8"/>
      <c r="CE632" s="8"/>
      <c r="CF632" s="8"/>
      <c r="CG632" s="9"/>
      <c r="CH632" s="8"/>
      <c r="CI632" s="8"/>
      <c r="CJ632" s="8"/>
      <c r="CK632" s="8"/>
      <c r="CL632" s="8"/>
      <c r="CM632" s="8"/>
      <c r="CN632" s="8"/>
      <c r="CO632" s="8"/>
      <c r="CP632" s="8"/>
      <c r="CQ632" s="9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8"/>
      <c r="DE632" s="8"/>
      <c r="DF632" s="9"/>
      <c r="DG632" s="9"/>
      <c r="DH632" s="10"/>
      <c r="DI632" s="9"/>
      <c r="DJ632" s="9"/>
      <c r="DK632" s="3"/>
      <c r="DL632" s="3"/>
      <c r="DM632" s="3"/>
    </row>
    <row r="633" ht="11.25" customHeight="1">
      <c r="A633" s="3"/>
      <c r="B633" s="2"/>
      <c r="C633" s="3"/>
      <c r="D633" s="3"/>
      <c r="E633" s="3"/>
      <c r="F633" s="4"/>
      <c r="G633" s="4"/>
      <c r="H633" s="4"/>
      <c r="I633" s="5"/>
      <c r="J633" s="4"/>
      <c r="K633" s="4"/>
      <c r="L633" s="6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3"/>
      <c r="AL633" s="3"/>
      <c r="AM633" s="3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8"/>
      <c r="BU633" s="8"/>
      <c r="BV633" s="8"/>
      <c r="BW633" s="8"/>
      <c r="BX633" s="3"/>
      <c r="BY633" s="3"/>
      <c r="BZ633" s="3"/>
      <c r="CA633" s="8"/>
      <c r="CB633" s="8"/>
      <c r="CC633" s="8"/>
      <c r="CD633" s="8"/>
      <c r="CE633" s="8"/>
      <c r="CF633" s="8"/>
      <c r="CG633" s="9"/>
      <c r="CH633" s="8"/>
      <c r="CI633" s="8"/>
      <c r="CJ633" s="8"/>
      <c r="CK633" s="8"/>
      <c r="CL633" s="8"/>
      <c r="CM633" s="8"/>
      <c r="CN633" s="8"/>
      <c r="CO633" s="8"/>
      <c r="CP633" s="8"/>
      <c r="CQ633" s="9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9"/>
      <c r="DG633" s="9"/>
      <c r="DH633" s="10"/>
      <c r="DI633" s="9"/>
      <c r="DJ633" s="9"/>
      <c r="DK633" s="3"/>
      <c r="DL633" s="3"/>
      <c r="DM633" s="3"/>
    </row>
    <row r="634" ht="11.25" customHeight="1">
      <c r="A634" s="3"/>
      <c r="B634" s="2"/>
      <c r="C634" s="3"/>
      <c r="D634" s="3"/>
      <c r="E634" s="3"/>
      <c r="F634" s="4"/>
      <c r="G634" s="4"/>
      <c r="H634" s="4"/>
      <c r="I634" s="5"/>
      <c r="J634" s="4"/>
      <c r="K634" s="4"/>
      <c r="L634" s="6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3"/>
      <c r="AL634" s="3"/>
      <c r="AM634" s="3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8"/>
      <c r="BU634" s="8"/>
      <c r="BV634" s="8"/>
      <c r="BW634" s="8"/>
      <c r="BX634" s="3"/>
      <c r="BY634" s="3"/>
      <c r="BZ634" s="3"/>
      <c r="CA634" s="8"/>
      <c r="CB634" s="8"/>
      <c r="CC634" s="8"/>
      <c r="CD634" s="8"/>
      <c r="CE634" s="8"/>
      <c r="CF634" s="8"/>
      <c r="CG634" s="9"/>
      <c r="CH634" s="8"/>
      <c r="CI634" s="8"/>
      <c r="CJ634" s="8"/>
      <c r="CK634" s="8"/>
      <c r="CL634" s="8"/>
      <c r="CM634" s="8"/>
      <c r="CN634" s="8"/>
      <c r="CO634" s="8"/>
      <c r="CP634" s="8"/>
      <c r="CQ634" s="9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8"/>
      <c r="DE634" s="8"/>
      <c r="DF634" s="9"/>
      <c r="DG634" s="9"/>
      <c r="DH634" s="10"/>
      <c r="DI634" s="9"/>
      <c r="DJ634" s="9"/>
      <c r="DK634" s="3"/>
      <c r="DL634" s="3"/>
      <c r="DM634" s="3"/>
    </row>
    <row r="635" ht="11.25" customHeight="1">
      <c r="A635" s="3"/>
      <c r="B635" s="2"/>
      <c r="C635" s="3"/>
      <c r="D635" s="3"/>
      <c r="E635" s="3"/>
      <c r="F635" s="4"/>
      <c r="G635" s="4"/>
      <c r="H635" s="4"/>
      <c r="I635" s="5"/>
      <c r="J635" s="4"/>
      <c r="K635" s="4"/>
      <c r="L635" s="6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3"/>
      <c r="AL635" s="3"/>
      <c r="AM635" s="3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8"/>
      <c r="BU635" s="8"/>
      <c r="BV635" s="8"/>
      <c r="BW635" s="8"/>
      <c r="BX635" s="3"/>
      <c r="BY635" s="3"/>
      <c r="BZ635" s="3"/>
      <c r="CA635" s="8"/>
      <c r="CB635" s="8"/>
      <c r="CC635" s="8"/>
      <c r="CD635" s="8"/>
      <c r="CE635" s="8"/>
      <c r="CF635" s="8"/>
      <c r="CG635" s="9"/>
      <c r="CH635" s="8"/>
      <c r="CI635" s="8"/>
      <c r="CJ635" s="8"/>
      <c r="CK635" s="8"/>
      <c r="CL635" s="8"/>
      <c r="CM635" s="8"/>
      <c r="CN635" s="8"/>
      <c r="CO635" s="8"/>
      <c r="CP635" s="8"/>
      <c r="CQ635" s="9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8"/>
      <c r="DE635" s="8"/>
      <c r="DF635" s="9"/>
      <c r="DG635" s="9"/>
      <c r="DH635" s="10"/>
      <c r="DI635" s="9"/>
      <c r="DJ635" s="9"/>
      <c r="DK635" s="3"/>
      <c r="DL635" s="3"/>
      <c r="DM635" s="3"/>
    </row>
    <row r="636" ht="11.25" customHeight="1">
      <c r="A636" s="3"/>
      <c r="B636" s="2"/>
      <c r="C636" s="3"/>
      <c r="D636" s="3"/>
      <c r="E636" s="3"/>
      <c r="F636" s="4"/>
      <c r="G636" s="4"/>
      <c r="H636" s="4"/>
      <c r="I636" s="5"/>
      <c r="J636" s="4"/>
      <c r="K636" s="4"/>
      <c r="L636" s="6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3"/>
      <c r="AL636" s="3"/>
      <c r="AM636" s="3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8"/>
      <c r="BU636" s="8"/>
      <c r="BV636" s="8"/>
      <c r="BW636" s="8"/>
      <c r="BX636" s="3"/>
      <c r="BY636" s="3"/>
      <c r="BZ636" s="3"/>
      <c r="CA636" s="8"/>
      <c r="CB636" s="8"/>
      <c r="CC636" s="8"/>
      <c r="CD636" s="8"/>
      <c r="CE636" s="8"/>
      <c r="CF636" s="8"/>
      <c r="CG636" s="9"/>
      <c r="CH636" s="8"/>
      <c r="CI636" s="8"/>
      <c r="CJ636" s="8"/>
      <c r="CK636" s="8"/>
      <c r="CL636" s="8"/>
      <c r="CM636" s="8"/>
      <c r="CN636" s="8"/>
      <c r="CO636" s="8"/>
      <c r="CP636" s="8"/>
      <c r="CQ636" s="9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8"/>
      <c r="DE636" s="8"/>
      <c r="DF636" s="9"/>
      <c r="DG636" s="9"/>
      <c r="DH636" s="10"/>
      <c r="DI636" s="9"/>
      <c r="DJ636" s="9"/>
      <c r="DK636" s="3"/>
      <c r="DL636" s="3"/>
      <c r="DM636" s="3"/>
    </row>
    <row r="637" ht="11.25" customHeight="1">
      <c r="A637" s="3"/>
      <c r="B637" s="2"/>
      <c r="C637" s="3"/>
      <c r="D637" s="3"/>
      <c r="E637" s="3"/>
      <c r="F637" s="4"/>
      <c r="G637" s="4"/>
      <c r="H637" s="4"/>
      <c r="I637" s="5"/>
      <c r="J637" s="4"/>
      <c r="K637" s="4"/>
      <c r="L637" s="6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3"/>
      <c r="AL637" s="3"/>
      <c r="AM637" s="3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8"/>
      <c r="BU637" s="8"/>
      <c r="BV637" s="8"/>
      <c r="BW637" s="8"/>
      <c r="BX637" s="3"/>
      <c r="BY637" s="3"/>
      <c r="BZ637" s="3"/>
      <c r="CA637" s="8"/>
      <c r="CB637" s="8"/>
      <c r="CC637" s="8"/>
      <c r="CD637" s="8"/>
      <c r="CE637" s="8"/>
      <c r="CF637" s="8"/>
      <c r="CG637" s="9"/>
      <c r="CH637" s="8"/>
      <c r="CI637" s="8"/>
      <c r="CJ637" s="8"/>
      <c r="CK637" s="8"/>
      <c r="CL637" s="8"/>
      <c r="CM637" s="8"/>
      <c r="CN637" s="8"/>
      <c r="CO637" s="8"/>
      <c r="CP637" s="8"/>
      <c r="CQ637" s="9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8"/>
      <c r="DE637" s="8"/>
      <c r="DF637" s="9"/>
      <c r="DG637" s="9"/>
      <c r="DH637" s="10"/>
      <c r="DI637" s="9"/>
      <c r="DJ637" s="9"/>
      <c r="DK637" s="3"/>
      <c r="DL637" s="3"/>
      <c r="DM637" s="3"/>
    </row>
    <row r="638" ht="11.25" customHeight="1">
      <c r="A638" s="3"/>
      <c r="B638" s="2"/>
      <c r="C638" s="3"/>
      <c r="D638" s="3"/>
      <c r="E638" s="3"/>
      <c r="F638" s="4"/>
      <c r="G638" s="4"/>
      <c r="H638" s="4"/>
      <c r="I638" s="5"/>
      <c r="J638" s="4"/>
      <c r="K638" s="4"/>
      <c r="L638" s="6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3"/>
      <c r="AL638" s="3"/>
      <c r="AM638" s="3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8"/>
      <c r="BU638" s="8"/>
      <c r="BV638" s="8"/>
      <c r="BW638" s="8"/>
      <c r="BX638" s="3"/>
      <c r="BY638" s="3"/>
      <c r="BZ638" s="3"/>
      <c r="CA638" s="8"/>
      <c r="CB638" s="8"/>
      <c r="CC638" s="8"/>
      <c r="CD638" s="8"/>
      <c r="CE638" s="8"/>
      <c r="CF638" s="8"/>
      <c r="CG638" s="9"/>
      <c r="CH638" s="8"/>
      <c r="CI638" s="8"/>
      <c r="CJ638" s="8"/>
      <c r="CK638" s="8"/>
      <c r="CL638" s="8"/>
      <c r="CM638" s="8"/>
      <c r="CN638" s="8"/>
      <c r="CO638" s="8"/>
      <c r="CP638" s="8"/>
      <c r="CQ638" s="9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8"/>
      <c r="DE638" s="8"/>
      <c r="DF638" s="9"/>
      <c r="DG638" s="9"/>
      <c r="DH638" s="10"/>
      <c r="DI638" s="9"/>
      <c r="DJ638" s="9"/>
      <c r="DK638" s="3"/>
      <c r="DL638" s="3"/>
      <c r="DM638" s="3"/>
    </row>
    <row r="639" ht="11.25" customHeight="1">
      <c r="A639" s="3"/>
      <c r="B639" s="2"/>
      <c r="C639" s="3"/>
      <c r="D639" s="3"/>
      <c r="E639" s="3"/>
      <c r="F639" s="4"/>
      <c r="G639" s="4"/>
      <c r="H639" s="4"/>
      <c r="I639" s="5"/>
      <c r="J639" s="4"/>
      <c r="K639" s="4"/>
      <c r="L639" s="6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3"/>
      <c r="AL639" s="3"/>
      <c r="AM639" s="3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8"/>
      <c r="BU639" s="8"/>
      <c r="BV639" s="8"/>
      <c r="BW639" s="8"/>
      <c r="BX639" s="3"/>
      <c r="BY639" s="3"/>
      <c r="BZ639" s="3"/>
      <c r="CA639" s="8"/>
      <c r="CB639" s="8"/>
      <c r="CC639" s="8"/>
      <c r="CD639" s="8"/>
      <c r="CE639" s="8"/>
      <c r="CF639" s="8"/>
      <c r="CG639" s="9"/>
      <c r="CH639" s="8"/>
      <c r="CI639" s="8"/>
      <c r="CJ639" s="8"/>
      <c r="CK639" s="8"/>
      <c r="CL639" s="8"/>
      <c r="CM639" s="8"/>
      <c r="CN639" s="8"/>
      <c r="CO639" s="8"/>
      <c r="CP639" s="8"/>
      <c r="CQ639" s="9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8"/>
      <c r="DE639" s="8"/>
      <c r="DF639" s="9"/>
      <c r="DG639" s="9"/>
      <c r="DH639" s="10"/>
      <c r="DI639" s="9"/>
      <c r="DJ639" s="9"/>
      <c r="DK639" s="3"/>
      <c r="DL639" s="3"/>
      <c r="DM639" s="3"/>
    </row>
    <row r="640" ht="11.25" customHeight="1">
      <c r="A640" s="3"/>
      <c r="B640" s="2"/>
      <c r="C640" s="3"/>
      <c r="D640" s="3"/>
      <c r="E640" s="3"/>
      <c r="F640" s="4"/>
      <c r="G640" s="4"/>
      <c r="H640" s="4"/>
      <c r="I640" s="5"/>
      <c r="J640" s="4"/>
      <c r="K640" s="4"/>
      <c r="L640" s="6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3"/>
      <c r="AL640" s="3"/>
      <c r="AM640" s="3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8"/>
      <c r="BU640" s="8"/>
      <c r="BV640" s="8"/>
      <c r="BW640" s="8"/>
      <c r="BX640" s="3"/>
      <c r="BY640" s="3"/>
      <c r="BZ640" s="3"/>
      <c r="CA640" s="8"/>
      <c r="CB640" s="8"/>
      <c r="CC640" s="8"/>
      <c r="CD640" s="8"/>
      <c r="CE640" s="8"/>
      <c r="CF640" s="8"/>
      <c r="CG640" s="9"/>
      <c r="CH640" s="8"/>
      <c r="CI640" s="8"/>
      <c r="CJ640" s="8"/>
      <c r="CK640" s="8"/>
      <c r="CL640" s="8"/>
      <c r="CM640" s="8"/>
      <c r="CN640" s="8"/>
      <c r="CO640" s="8"/>
      <c r="CP640" s="8"/>
      <c r="CQ640" s="9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8"/>
      <c r="DC640" s="8"/>
      <c r="DD640" s="8"/>
      <c r="DE640" s="8"/>
      <c r="DF640" s="9"/>
      <c r="DG640" s="9"/>
      <c r="DH640" s="10"/>
      <c r="DI640" s="9"/>
      <c r="DJ640" s="9"/>
      <c r="DK640" s="3"/>
      <c r="DL640" s="3"/>
      <c r="DM640" s="3"/>
    </row>
    <row r="641" ht="11.25" customHeight="1">
      <c r="A641" s="3"/>
      <c r="B641" s="2"/>
      <c r="C641" s="3"/>
      <c r="D641" s="3"/>
      <c r="E641" s="3"/>
      <c r="F641" s="4"/>
      <c r="G641" s="4"/>
      <c r="H641" s="4"/>
      <c r="I641" s="5"/>
      <c r="J641" s="4"/>
      <c r="K641" s="4"/>
      <c r="L641" s="6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3"/>
      <c r="AL641" s="3"/>
      <c r="AM641" s="3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8"/>
      <c r="BU641" s="8"/>
      <c r="BV641" s="8"/>
      <c r="BW641" s="8"/>
      <c r="BX641" s="3"/>
      <c r="BY641" s="3"/>
      <c r="BZ641" s="3"/>
      <c r="CA641" s="8"/>
      <c r="CB641" s="8"/>
      <c r="CC641" s="8"/>
      <c r="CD641" s="8"/>
      <c r="CE641" s="8"/>
      <c r="CF641" s="8"/>
      <c r="CG641" s="9"/>
      <c r="CH641" s="8"/>
      <c r="CI641" s="8"/>
      <c r="CJ641" s="8"/>
      <c r="CK641" s="8"/>
      <c r="CL641" s="8"/>
      <c r="CM641" s="8"/>
      <c r="CN641" s="8"/>
      <c r="CO641" s="8"/>
      <c r="CP641" s="8"/>
      <c r="CQ641" s="9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8"/>
      <c r="DE641" s="8"/>
      <c r="DF641" s="9"/>
      <c r="DG641" s="9"/>
      <c r="DH641" s="10"/>
      <c r="DI641" s="9"/>
      <c r="DJ641" s="9"/>
      <c r="DK641" s="3"/>
      <c r="DL641" s="3"/>
      <c r="DM641" s="3"/>
    </row>
    <row r="642" ht="11.25" customHeight="1">
      <c r="A642" s="3"/>
      <c r="B642" s="2"/>
      <c r="C642" s="3"/>
      <c r="D642" s="3"/>
      <c r="E642" s="3"/>
      <c r="F642" s="4"/>
      <c r="G642" s="4"/>
      <c r="H642" s="4"/>
      <c r="I642" s="5"/>
      <c r="J642" s="4"/>
      <c r="K642" s="4"/>
      <c r="L642" s="6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3"/>
      <c r="AL642" s="3"/>
      <c r="AM642" s="3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8"/>
      <c r="BU642" s="8"/>
      <c r="BV642" s="8"/>
      <c r="BW642" s="8"/>
      <c r="BX642" s="3"/>
      <c r="BY642" s="3"/>
      <c r="BZ642" s="3"/>
      <c r="CA642" s="8"/>
      <c r="CB642" s="8"/>
      <c r="CC642" s="8"/>
      <c r="CD642" s="8"/>
      <c r="CE642" s="8"/>
      <c r="CF642" s="8"/>
      <c r="CG642" s="9"/>
      <c r="CH642" s="8"/>
      <c r="CI642" s="8"/>
      <c r="CJ642" s="8"/>
      <c r="CK642" s="8"/>
      <c r="CL642" s="8"/>
      <c r="CM642" s="8"/>
      <c r="CN642" s="8"/>
      <c r="CO642" s="8"/>
      <c r="CP642" s="8"/>
      <c r="CQ642" s="9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8"/>
      <c r="DE642" s="8"/>
      <c r="DF642" s="9"/>
      <c r="DG642" s="9"/>
      <c r="DH642" s="10"/>
      <c r="DI642" s="9"/>
      <c r="DJ642" s="9"/>
      <c r="DK642" s="3"/>
      <c r="DL642" s="3"/>
      <c r="DM642" s="3"/>
    </row>
    <row r="643" ht="11.25" customHeight="1">
      <c r="A643" s="3"/>
      <c r="B643" s="2"/>
      <c r="C643" s="3"/>
      <c r="D643" s="3"/>
      <c r="E643" s="3"/>
      <c r="F643" s="4"/>
      <c r="G643" s="4"/>
      <c r="H643" s="4"/>
      <c r="I643" s="5"/>
      <c r="J643" s="4"/>
      <c r="K643" s="4"/>
      <c r="L643" s="6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3"/>
      <c r="AL643" s="3"/>
      <c r="AM643" s="3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8"/>
      <c r="BU643" s="8"/>
      <c r="BV643" s="8"/>
      <c r="BW643" s="8"/>
      <c r="BX643" s="3"/>
      <c r="BY643" s="3"/>
      <c r="BZ643" s="3"/>
      <c r="CA643" s="8"/>
      <c r="CB643" s="8"/>
      <c r="CC643" s="8"/>
      <c r="CD643" s="8"/>
      <c r="CE643" s="8"/>
      <c r="CF643" s="8"/>
      <c r="CG643" s="9"/>
      <c r="CH643" s="8"/>
      <c r="CI643" s="8"/>
      <c r="CJ643" s="8"/>
      <c r="CK643" s="8"/>
      <c r="CL643" s="8"/>
      <c r="CM643" s="8"/>
      <c r="CN643" s="8"/>
      <c r="CO643" s="8"/>
      <c r="CP643" s="8"/>
      <c r="CQ643" s="9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8"/>
      <c r="DE643" s="8"/>
      <c r="DF643" s="9"/>
      <c r="DG643" s="9"/>
      <c r="DH643" s="10"/>
      <c r="DI643" s="9"/>
      <c r="DJ643" s="9"/>
      <c r="DK643" s="3"/>
      <c r="DL643" s="3"/>
      <c r="DM643" s="3"/>
    </row>
    <row r="644" ht="11.25" customHeight="1">
      <c r="A644" s="3"/>
      <c r="B644" s="2"/>
      <c r="C644" s="3"/>
      <c r="D644" s="3"/>
      <c r="E644" s="3"/>
      <c r="F644" s="4"/>
      <c r="G644" s="4"/>
      <c r="H644" s="4"/>
      <c r="I644" s="5"/>
      <c r="J644" s="4"/>
      <c r="K644" s="4"/>
      <c r="L644" s="6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3"/>
      <c r="AL644" s="3"/>
      <c r="AM644" s="3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8"/>
      <c r="BU644" s="8"/>
      <c r="BV644" s="8"/>
      <c r="BW644" s="8"/>
      <c r="BX644" s="3"/>
      <c r="BY644" s="3"/>
      <c r="BZ644" s="3"/>
      <c r="CA644" s="8"/>
      <c r="CB644" s="8"/>
      <c r="CC644" s="8"/>
      <c r="CD644" s="8"/>
      <c r="CE644" s="8"/>
      <c r="CF644" s="8"/>
      <c r="CG644" s="9"/>
      <c r="CH644" s="8"/>
      <c r="CI644" s="8"/>
      <c r="CJ644" s="8"/>
      <c r="CK644" s="8"/>
      <c r="CL644" s="8"/>
      <c r="CM644" s="8"/>
      <c r="CN644" s="8"/>
      <c r="CO644" s="8"/>
      <c r="CP644" s="8"/>
      <c r="CQ644" s="9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8"/>
      <c r="DE644" s="8"/>
      <c r="DF644" s="9"/>
      <c r="DG644" s="9"/>
      <c r="DH644" s="10"/>
      <c r="DI644" s="9"/>
      <c r="DJ644" s="9"/>
      <c r="DK644" s="3"/>
      <c r="DL644" s="3"/>
      <c r="DM644" s="3"/>
    </row>
    <row r="645" ht="11.25" customHeight="1">
      <c r="A645" s="3"/>
      <c r="B645" s="2"/>
      <c r="C645" s="3"/>
      <c r="D645" s="3"/>
      <c r="E645" s="3"/>
      <c r="F645" s="4"/>
      <c r="G645" s="4"/>
      <c r="H645" s="4"/>
      <c r="I645" s="5"/>
      <c r="J645" s="4"/>
      <c r="K645" s="4"/>
      <c r="L645" s="6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3"/>
      <c r="AL645" s="3"/>
      <c r="AM645" s="3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8"/>
      <c r="BU645" s="8"/>
      <c r="BV645" s="8"/>
      <c r="BW645" s="8"/>
      <c r="BX645" s="3"/>
      <c r="BY645" s="3"/>
      <c r="BZ645" s="3"/>
      <c r="CA645" s="8"/>
      <c r="CB645" s="8"/>
      <c r="CC645" s="8"/>
      <c r="CD645" s="8"/>
      <c r="CE645" s="8"/>
      <c r="CF645" s="8"/>
      <c r="CG645" s="9"/>
      <c r="CH645" s="8"/>
      <c r="CI645" s="8"/>
      <c r="CJ645" s="8"/>
      <c r="CK645" s="8"/>
      <c r="CL645" s="8"/>
      <c r="CM645" s="8"/>
      <c r="CN645" s="8"/>
      <c r="CO645" s="8"/>
      <c r="CP645" s="8"/>
      <c r="CQ645" s="9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8"/>
      <c r="DE645" s="8"/>
      <c r="DF645" s="9"/>
      <c r="DG645" s="9"/>
      <c r="DH645" s="10"/>
      <c r="DI645" s="9"/>
      <c r="DJ645" s="9"/>
      <c r="DK645" s="3"/>
      <c r="DL645" s="3"/>
      <c r="DM645" s="3"/>
    </row>
    <row r="646" ht="11.25" customHeight="1">
      <c r="A646" s="3"/>
      <c r="B646" s="2"/>
      <c r="C646" s="3"/>
      <c r="D646" s="3"/>
      <c r="E646" s="3"/>
      <c r="F646" s="4"/>
      <c r="G646" s="4"/>
      <c r="H646" s="4"/>
      <c r="I646" s="5"/>
      <c r="J646" s="4"/>
      <c r="K646" s="4"/>
      <c r="L646" s="6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3"/>
      <c r="AL646" s="3"/>
      <c r="AM646" s="3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8"/>
      <c r="BU646" s="8"/>
      <c r="BV646" s="8"/>
      <c r="BW646" s="8"/>
      <c r="BX646" s="3"/>
      <c r="BY646" s="3"/>
      <c r="BZ646" s="3"/>
      <c r="CA646" s="8"/>
      <c r="CB646" s="8"/>
      <c r="CC646" s="8"/>
      <c r="CD646" s="8"/>
      <c r="CE646" s="8"/>
      <c r="CF646" s="8"/>
      <c r="CG646" s="9"/>
      <c r="CH646" s="8"/>
      <c r="CI646" s="8"/>
      <c r="CJ646" s="8"/>
      <c r="CK646" s="8"/>
      <c r="CL646" s="8"/>
      <c r="CM646" s="8"/>
      <c r="CN646" s="8"/>
      <c r="CO646" s="8"/>
      <c r="CP646" s="8"/>
      <c r="CQ646" s="9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8"/>
      <c r="DE646" s="8"/>
      <c r="DF646" s="9"/>
      <c r="DG646" s="9"/>
      <c r="DH646" s="10"/>
      <c r="DI646" s="9"/>
      <c r="DJ646" s="9"/>
      <c r="DK646" s="3"/>
      <c r="DL646" s="3"/>
      <c r="DM646" s="3"/>
    </row>
    <row r="647" ht="11.25" customHeight="1">
      <c r="A647" s="3"/>
      <c r="B647" s="2"/>
      <c r="C647" s="3"/>
      <c r="D647" s="3"/>
      <c r="E647" s="3"/>
      <c r="F647" s="4"/>
      <c r="G647" s="4"/>
      <c r="H647" s="4"/>
      <c r="I647" s="5"/>
      <c r="J647" s="4"/>
      <c r="K647" s="4"/>
      <c r="L647" s="6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3"/>
      <c r="AL647" s="3"/>
      <c r="AM647" s="3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8"/>
      <c r="BU647" s="8"/>
      <c r="BV647" s="8"/>
      <c r="BW647" s="8"/>
      <c r="BX647" s="3"/>
      <c r="BY647" s="3"/>
      <c r="BZ647" s="3"/>
      <c r="CA647" s="8"/>
      <c r="CB647" s="8"/>
      <c r="CC647" s="8"/>
      <c r="CD647" s="8"/>
      <c r="CE647" s="8"/>
      <c r="CF647" s="8"/>
      <c r="CG647" s="9"/>
      <c r="CH647" s="8"/>
      <c r="CI647" s="8"/>
      <c r="CJ647" s="8"/>
      <c r="CK647" s="8"/>
      <c r="CL647" s="8"/>
      <c r="CM647" s="8"/>
      <c r="CN647" s="8"/>
      <c r="CO647" s="8"/>
      <c r="CP647" s="8"/>
      <c r="CQ647" s="9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8"/>
      <c r="DE647" s="8"/>
      <c r="DF647" s="9"/>
      <c r="DG647" s="9"/>
      <c r="DH647" s="10"/>
      <c r="DI647" s="9"/>
      <c r="DJ647" s="9"/>
      <c r="DK647" s="3"/>
      <c r="DL647" s="3"/>
      <c r="DM647" s="3"/>
    </row>
    <row r="648" ht="11.25" customHeight="1">
      <c r="A648" s="3"/>
      <c r="B648" s="2"/>
      <c r="C648" s="3"/>
      <c r="D648" s="3"/>
      <c r="E648" s="3"/>
      <c r="F648" s="4"/>
      <c r="G648" s="4"/>
      <c r="H648" s="4"/>
      <c r="I648" s="5"/>
      <c r="J648" s="4"/>
      <c r="K648" s="4"/>
      <c r="L648" s="6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3"/>
      <c r="AL648" s="3"/>
      <c r="AM648" s="3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8"/>
      <c r="BU648" s="8"/>
      <c r="BV648" s="8"/>
      <c r="BW648" s="8"/>
      <c r="BX648" s="3"/>
      <c r="BY648" s="3"/>
      <c r="BZ648" s="3"/>
      <c r="CA648" s="8"/>
      <c r="CB648" s="8"/>
      <c r="CC648" s="8"/>
      <c r="CD648" s="8"/>
      <c r="CE648" s="8"/>
      <c r="CF648" s="8"/>
      <c r="CG648" s="9"/>
      <c r="CH648" s="8"/>
      <c r="CI648" s="8"/>
      <c r="CJ648" s="8"/>
      <c r="CK648" s="8"/>
      <c r="CL648" s="8"/>
      <c r="CM648" s="8"/>
      <c r="CN648" s="8"/>
      <c r="CO648" s="8"/>
      <c r="CP648" s="8"/>
      <c r="CQ648" s="9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9"/>
      <c r="DG648" s="9"/>
      <c r="DH648" s="10"/>
      <c r="DI648" s="9"/>
      <c r="DJ648" s="9"/>
      <c r="DK648" s="3"/>
      <c r="DL648" s="3"/>
      <c r="DM648" s="3"/>
    </row>
    <row r="649" ht="11.25" customHeight="1">
      <c r="A649" s="3"/>
      <c r="B649" s="2"/>
      <c r="C649" s="3"/>
      <c r="D649" s="3"/>
      <c r="E649" s="3"/>
      <c r="F649" s="4"/>
      <c r="G649" s="4"/>
      <c r="H649" s="4"/>
      <c r="I649" s="5"/>
      <c r="J649" s="4"/>
      <c r="K649" s="4"/>
      <c r="L649" s="6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3"/>
      <c r="AL649" s="3"/>
      <c r="AM649" s="3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8"/>
      <c r="BU649" s="8"/>
      <c r="BV649" s="8"/>
      <c r="BW649" s="8"/>
      <c r="BX649" s="3"/>
      <c r="BY649" s="3"/>
      <c r="BZ649" s="3"/>
      <c r="CA649" s="8"/>
      <c r="CB649" s="8"/>
      <c r="CC649" s="8"/>
      <c r="CD649" s="8"/>
      <c r="CE649" s="8"/>
      <c r="CF649" s="8"/>
      <c r="CG649" s="9"/>
      <c r="CH649" s="8"/>
      <c r="CI649" s="8"/>
      <c r="CJ649" s="8"/>
      <c r="CK649" s="8"/>
      <c r="CL649" s="8"/>
      <c r="CM649" s="8"/>
      <c r="CN649" s="8"/>
      <c r="CO649" s="8"/>
      <c r="CP649" s="8"/>
      <c r="CQ649" s="9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8"/>
      <c r="DE649" s="8"/>
      <c r="DF649" s="9"/>
      <c r="DG649" s="9"/>
      <c r="DH649" s="10"/>
      <c r="DI649" s="9"/>
      <c r="DJ649" s="9"/>
      <c r="DK649" s="3"/>
      <c r="DL649" s="3"/>
      <c r="DM649" s="3"/>
    </row>
    <row r="650" ht="11.25" customHeight="1">
      <c r="A650" s="3"/>
      <c r="B650" s="2"/>
      <c r="C650" s="3"/>
      <c r="D650" s="3"/>
      <c r="E650" s="3"/>
      <c r="F650" s="4"/>
      <c r="G650" s="4"/>
      <c r="H650" s="4"/>
      <c r="I650" s="5"/>
      <c r="J650" s="4"/>
      <c r="K650" s="4"/>
      <c r="L650" s="6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3"/>
      <c r="AL650" s="3"/>
      <c r="AM650" s="3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8"/>
      <c r="BU650" s="8"/>
      <c r="BV650" s="8"/>
      <c r="BW650" s="8"/>
      <c r="BX650" s="3"/>
      <c r="BY650" s="3"/>
      <c r="BZ650" s="3"/>
      <c r="CA650" s="8"/>
      <c r="CB650" s="8"/>
      <c r="CC650" s="8"/>
      <c r="CD650" s="8"/>
      <c r="CE650" s="8"/>
      <c r="CF650" s="8"/>
      <c r="CG650" s="9"/>
      <c r="CH650" s="8"/>
      <c r="CI650" s="8"/>
      <c r="CJ650" s="8"/>
      <c r="CK650" s="8"/>
      <c r="CL650" s="8"/>
      <c r="CM650" s="8"/>
      <c r="CN650" s="8"/>
      <c r="CO650" s="8"/>
      <c r="CP650" s="8"/>
      <c r="CQ650" s="9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8"/>
      <c r="DE650" s="8"/>
      <c r="DF650" s="9"/>
      <c r="DG650" s="9"/>
      <c r="DH650" s="10"/>
      <c r="DI650" s="9"/>
      <c r="DJ650" s="9"/>
      <c r="DK650" s="3"/>
      <c r="DL650" s="3"/>
      <c r="DM650" s="3"/>
    </row>
    <row r="651" ht="11.25" customHeight="1">
      <c r="A651" s="3"/>
      <c r="B651" s="2"/>
      <c r="C651" s="3"/>
      <c r="D651" s="3"/>
      <c r="E651" s="3"/>
      <c r="F651" s="4"/>
      <c r="G651" s="4"/>
      <c r="H651" s="4"/>
      <c r="I651" s="5"/>
      <c r="J651" s="4"/>
      <c r="K651" s="4"/>
      <c r="L651" s="6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3"/>
      <c r="AL651" s="3"/>
      <c r="AM651" s="3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8"/>
      <c r="BU651" s="8"/>
      <c r="BV651" s="8"/>
      <c r="BW651" s="8"/>
      <c r="BX651" s="3"/>
      <c r="BY651" s="3"/>
      <c r="BZ651" s="3"/>
      <c r="CA651" s="8"/>
      <c r="CB651" s="8"/>
      <c r="CC651" s="8"/>
      <c r="CD651" s="8"/>
      <c r="CE651" s="8"/>
      <c r="CF651" s="8"/>
      <c r="CG651" s="9"/>
      <c r="CH651" s="8"/>
      <c r="CI651" s="8"/>
      <c r="CJ651" s="8"/>
      <c r="CK651" s="8"/>
      <c r="CL651" s="8"/>
      <c r="CM651" s="8"/>
      <c r="CN651" s="8"/>
      <c r="CO651" s="8"/>
      <c r="CP651" s="8"/>
      <c r="CQ651" s="9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8"/>
      <c r="DE651" s="8"/>
      <c r="DF651" s="9"/>
      <c r="DG651" s="9"/>
      <c r="DH651" s="10"/>
      <c r="DI651" s="9"/>
      <c r="DJ651" s="9"/>
      <c r="DK651" s="3"/>
      <c r="DL651" s="3"/>
      <c r="DM651" s="3"/>
    </row>
    <row r="652" ht="11.25" customHeight="1">
      <c r="A652" s="3"/>
      <c r="B652" s="2"/>
      <c r="C652" s="3"/>
      <c r="D652" s="3"/>
      <c r="E652" s="3"/>
      <c r="F652" s="4"/>
      <c r="G652" s="4"/>
      <c r="H652" s="4"/>
      <c r="I652" s="5"/>
      <c r="J652" s="4"/>
      <c r="K652" s="4"/>
      <c r="L652" s="6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3"/>
      <c r="AL652" s="3"/>
      <c r="AM652" s="3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8"/>
      <c r="BU652" s="8"/>
      <c r="BV652" s="8"/>
      <c r="BW652" s="8"/>
      <c r="BX652" s="3"/>
      <c r="BY652" s="3"/>
      <c r="BZ652" s="3"/>
      <c r="CA652" s="8"/>
      <c r="CB652" s="8"/>
      <c r="CC652" s="8"/>
      <c r="CD652" s="8"/>
      <c r="CE652" s="8"/>
      <c r="CF652" s="8"/>
      <c r="CG652" s="9"/>
      <c r="CH652" s="8"/>
      <c r="CI652" s="8"/>
      <c r="CJ652" s="8"/>
      <c r="CK652" s="8"/>
      <c r="CL652" s="8"/>
      <c r="CM652" s="8"/>
      <c r="CN652" s="8"/>
      <c r="CO652" s="8"/>
      <c r="CP652" s="8"/>
      <c r="CQ652" s="9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8"/>
      <c r="DE652" s="8"/>
      <c r="DF652" s="9"/>
      <c r="DG652" s="9"/>
      <c r="DH652" s="10"/>
      <c r="DI652" s="9"/>
      <c r="DJ652" s="9"/>
      <c r="DK652" s="3"/>
      <c r="DL652" s="3"/>
      <c r="DM652" s="3"/>
    </row>
    <row r="653" ht="11.25" customHeight="1">
      <c r="A653" s="3"/>
      <c r="B653" s="2"/>
      <c r="C653" s="3"/>
      <c r="D653" s="3"/>
      <c r="E653" s="3"/>
      <c r="F653" s="4"/>
      <c r="G653" s="4"/>
      <c r="H653" s="4"/>
      <c r="I653" s="5"/>
      <c r="J653" s="4"/>
      <c r="K653" s="4"/>
      <c r="L653" s="6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3"/>
      <c r="AL653" s="3"/>
      <c r="AM653" s="3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8"/>
      <c r="BU653" s="8"/>
      <c r="BV653" s="8"/>
      <c r="BW653" s="8"/>
      <c r="BX653" s="3"/>
      <c r="BY653" s="3"/>
      <c r="BZ653" s="3"/>
      <c r="CA653" s="8"/>
      <c r="CB653" s="8"/>
      <c r="CC653" s="8"/>
      <c r="CD653" s="8"/>
      <c r="CE653" s="8"/>
      <c r="CF653" s="8"/>
      <c r="CG653" s="9"/>
      <c r="CH653" s="8"/>
      <c r="CI653" s="8"/>
      <c r="CJ653" s="8"/>
      <c r="CK653" s="8"/>
      <c r="CL653" s="8"/>
      <c r="CM653" s="8"/>
      <c r="CN653" s="8"/>
      <c r="CO653" s="8"/>
      <c r="CP653" s="8"/>
      <c r="CQ653" s="9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8"/>
      <c r="DE653" s="8"/>
      <c r="DF653" s="9"/>
      <c r="DG653" s="9"/>
      <c r="DH653" s="10"/>
      <c r="DI653" s="9"/>
      <c r="DJ653" s="9"/>
      <c r="DK653" s="3"/>
      <c r="DL653" s="3"/>
      <c r="DM653" s="3"/>
    </row>
    <row r="654" ht="11.25" customHeight="1">
      <c r="A654" s="3"/>
      <c r="B654" s="2"/>
      <c r="C654" s="3"/>
      <c r="D654" s="3"/>
      <c r="E654" s="3"/>
      <c r="F654" s="4"/>
      <c r="G654" s="4"/>
      <c r="H654" s="4"/>
      <c r="I654" s="5"/>
      <c r="J654" s="4"/>
      <c r="K654" s="4"/>
      <c r="L654" s="6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3"/>
      <c r="AL654" s="3"/>
      <c r="AM654" s="3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8"/>
      <c r="BU654" s="8"/>
      <c r="BV654" s="8"/>
      <c r="BW654" s="8"/>
      <c r="BX654" s="3"/>
      <c r="BY654" s="3"/>
      <c r="BZ654" s="3"/>
      <c r="CA654" s="8"/>
      <c r="CB654" s="8"/>
      <c r="CC654" s="8"/>
      <c r="CD654" s="8"/>
      <c r="CE654" s="8"/>
      <c r="CF654" s="8"/>
      <c r="CG654" s="9"/>
      <c r="CH654" s="8"/>
      <c r="CI654" s="8"/>
      <c r="CJ654" s="8"/>
      <c r="CK654" s="8"/>
      <c r="CL654" s="8"/>
      <c r="CM654" s="8"/>
      <c r="CN654" s="8"/>
      <c r="CO654" s="8"/>
      <c r="CP654" s="8"/>
      <c r="CQ654" s="9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8"/>
      <c r="DE654" s="8"/>
      <c r="DF654" s="9"/>
      <c r="DG654" s="9"/>
      <c r="DH654" s="10"/>
      <c r="DI654" s="9"/>
      <c r="DJ654" s="9"/>
      <c r="DK654" s="3"/>
      <c r="DL654" s="3"/>
      <c r="DM654" s="3"/>
    </row>
    <row r="655" ht="11.25" customHeight="1">
      <c r="A655" s="3"/>
      <c r="B655" s="2"/>
      <c r="C655" s="3"/>
      <c r="D655" s="3"/>
      <c r="E655" s="3"/>
      <c r="F655" s="4"/>
      <c r="G655" s="4"/>
      <c r="H655" s="4"/>
      <c r="I655" s="5"/>
      <c r="J655" s="4"/>
      <c r="K655" s="4"/>
      <c r="L655" s="6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3"/>
      <c r="AL655" s="3"/>
      <c r="AM655" s="3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8"/>
      <c r="BU655" s="8"/>
      <c r="BV655" s="8"/>
      <c r="BW655" s="8"/>
      <c r="BX655" s="3"/>
      <c r="BY655" s="3"/>
      <c r="BZ655" s="3"/>
      <c r="CA655" s="8"/>
      <c r="CB655" s="8"/>
      <c r="CC655" s="8"/>
      <c r="CD655" s="8"/>
      <c r="CE655" s="8"/>
      <c r="CF655" s="8"/>
      <c r="CG655" s="9"/>
      <c r="CH655" s="8"/>
      <c r="CI655" s="8"/>
      <c r="CJ655" s="8"/>
      <c r="CK655" s="8"/>
      <c r="CL655" s="8"/>
      <c r="CM655" s="8"/>
      <c r="CN655" s="8"/>
      <c r="CO655" s="8"/>
      <c r="CP655" s="8"/>
      <c r="CQ655" s="9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8"/>
      <c r="DE655" s="8"/>
      <c r="DF655" s="9"/>
      <c r="DG655" s="9"/>
      <c r="DH655" s="10"/>
      <c r="DI655" s="9"/>
      <c r="DJ655" s="9"/>
      <c r="DK655" s="3"/>
      <c r="DL655" s="3"/>
      <c r="DM655" s="3"/>
    </row>
    <row r="656" ht="11.25" customHeight="1">
      <c r="A656" s="3"/>
      <c r="B656" s="2"/>
      <c r="C656" s="3"/>
      <c r="D656" s="3"/>
      <c r="E656" s="3"/>
      <c r="F656" s="4"/>
      <c r="G656" s="4"/>
      <c r="H656" s="4"/>
      <c r="I656" s="5"/>
      <c r="J656" s="4"/>
      <c r="K656" s="4"/>
      <c r="L656" s="6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3"/>
      <c r="AL656" s="3"/>
      <c r="AM656" s="3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8"/>
      <c r="BU656" s="8"/>
      <c r="BV656" s="8"/>
      <c r="BW656" s="8"/>
      <c r="BX656" s="3"/>
      <c r="BY656" s="3"/>
      <c r="BZ656" s="3"/>
      <c r="CA656" s="8"/>
      <c r="CB656" s="8"/>
      <c r="CC656" s="8"/>
      <c r="CD656" s="8"/>
      <c r="CE656" s="8"/>
      <c r="CF656" s="8"/>
      <c r="CG656" s="9"/>
      <c r="CH656" s="8"/>
      <c r="CI656" s="8"/>
      <c r="CJ656" s="8"/>
      <c r="CK656" s="8"/>
      <c r="CL656" s="8"/>
      <c r="CM656" s="8"/>
      <c r="CN656" s="8"/>
      <c r="CO656" s="8"/>
      <c r="CP656" s="8"/>
      <c r="CQ656" s="9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8"/>
      <c r="DE656" s="8"/>
      <c r="DF656" s="9"/>
      <c r="DG656" s="9"/>
      <c r="DH656" s="10"/>
      <c r="DI656" s="9"/>
      <c r="DJ656" s="9"/>
      <c r="DK656" s="3"/>
      <c r="DL656" s="3"/>
      <c r="DM656" s="3"/>
    </row>
    <row r="657" ht="11.25" customHeight="1">
      <c r="A657" s="3"/>
      <c r="B657" s="2"/>
      <c r="C657" s="3"/>
      <c r="D657" s="3"/>
      <c r="E657" s="3"/>
      <c r="F657" s="4"/>
      <c r="G657" s="4"/>
      <c r="H657" s="4"/>
      <c r="I657" s="5"/>
      <c r="J657" s="4"/>
      <c r="K657" s="4"/>
      <c r="L657" s="6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3"/>
      <c r="AL657" s="3"/>
      <c r="AM657" s="3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8"/>
      <c r="BU657" s="8"/>
      <c r="BV657" s="8"/>
      <c r="BW657" s="8"/>
      <c r="BX657" s="3"/>
      <c r="BY657" s="3"/>
      <c r="BZ657" s="3"/>
      <c r="CA657" s="8"/>
      <c r="CB657" s="8"/>
      <c r="CC657" s="8"/>
      <c r="CD657" s="8"/>
      <c r="CE657" s="8"/>
      <c r="CF657" s="8"/>
      <c r="CG657" s="9"/>
      <c r="CH657" s="8"/>
      <c r="CI657" s="8"/>
      <c r="CJ657" s="8"/>
      <c r="CK657" s="8"/>
      <c r="CL657" s="8"/>
      <c r="CM657" s="8"/>
      <c r="CN657" s="8"/>
      <c r="CO657" s="8"/>
      <c r="CP657" s="8"/>
      <c r="CQ657" s="9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9"/>
      <c r="DG657" s="9"/>
      <c r="DH657" s="10"/>
      <c r="DI657" s="9"/>
      <c r="DJ657" s="9"/>
      <c r="DK657" s="3"/>
      <c r="DL657" s="3"/>
      <c r="DM657" s="3"/>
    </row>
    <row r="658" ht="11.25" customHeight="1">
      <c r="A658" s="3"/>
      <c r="B658" s="2"/>
      <c r="C658" s="3"/>
      <c r="D658" s="3"/>
      <c r="E658" s="3"/>
      <c r="F658" s="4"/>
      <c r="G658" s="4"/>
      <c r="H658" s="4"/>
      <c r="I658" s="5"/>
      <c r="J658" s="4"/>
      <c r="K658" s="4"/>
      <c r="L658" s="6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3"/>
      <c r="AL658" s="3"/>
      <c r="AM658" s="3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8"/>
      <c r="BU658" s="8"/>
      <c r="BV658" s="8"/>
      <c r="BW658" s="8"/>
      <c r="BX658" s="3"/>
      <c r="BY658" s="3"/>
      <c r="BZ658" s="3"/>
      <c r="CA658" s="8"/>
      <c r="CB658" s="8"/>
      <c r="CC658" s="8"/>
      <c r="CD658" s="8"/>
      <c r="CE658" s="8"/>
      <c r="CF658" s="8"/>
      <c r="CG658" s="9"/>
      <c r="CH658" s="8"/>
      <c r="CI658" s="8"/>
      <c r="CJ658" s="8"/>
      <c r="CK658" s="8"/>
      <c r="CL658" s="8"/>
      <c r="CM658" s="8"/>
      <c r="CN658" s="8"/>
      <c r="CO658" s="8"/>
      <c r="CP658" s="8"/>
      <c r="CQ658" s="9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8"/>
      <c r="DE658" s="8"/>
      <c r="DF658" s="9"/>
      <c r="DG658" s="9"/>
      <c r="DH658" s="10"/>
      <c r="DI658" s="9"/>
      <c r="DJ658" s="9"/>
      <c r="DK658" s="3"/>
      <c r="DL658" s="3"/>
      <c r="DM658" s="3"/>
    </row>
    <row r="659" ht="11.25" customHeight="1">
      <c r="A659" s="3"/>
      <c r="B659" s="2"/>
      <c r="C659" s="3"/>
      <c r="D659" s="3"/>
      <c r="E659" s="3"/>
      <c r="F659" s="4"/>
      <c r="G659" s="4"/>
      <c r="H659" s="4"/>
      <c r="I659" s="5"/>
      <c r="J659" s="4"/>
      <c r="K659" s="4"/>
      <c r="L659" s="6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3"/>
      <c r="AL659" s="3"/>
      <c r="AM659" s="3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8"/>
      <c r="BU659" s="8"/>
      <c r="BV659" s="8"/>
      <c r="BW659" s="8"/>
      <c r="BX659" s="3"/>
      <c r="BY659" s="3"/>
      <c r="BZ659" s="3"/>
      <c r="CA659" s="8"/>
      <c r="CB659" s="8"/>
      <c r="CC659" s="8"/>
      <c r="CD659" s="8"/>
      <c r="CE659" s="8"/>
      <c r="CF659" s="8"/>
      <c r="CG659" s="9"/>
      <c r="CH659" s="8"/>
      <c r="CI659" s="8"/>
      <c r="CJ659" s="8"/>
      <c r="CK659" s="8"/>
      <c r="CL659" s="8"/>
      <c r="CM659" s="8"/>
      <c r="CN659" s="8"/>
      <c r="CO659" s="8"/>
      <c r="CP659" s="8"/>
      <c r="CQ659" s="9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8"/>
      <c r="DE659" s="8"/>
      <c r="DF659" s="9"/>
      <c r="DG659" s="9"/>
      <c r="DH659" s="10"/>
      <c r="DI659" s="9"/>
      <c r="DJ659" s="9"/>
      <c r="DK659" s="3"/>
      <c r="DL659" s="3"/>
      <c r="DM659" s="3"/>
    </row>
    <row r="660" ht="11.25" customHeight="1">
      <c r="A660" s="3"/>
      <c r="B660" s="2"/>
      <c r="C660" s="3"/>
      <c r="D660" s="3"/>
      <c r="E660" s="3"/>
      <c r="F660" s="4"/>
      <c r="G660" s="4"/>
      <c r="H660" s="4"/>
      <c r="I660" s="5"/>
      <c r="J660" s="4"/>
      <c r="K660" s="4"/>
      <c r="L660" s="6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3"/>
      <c r="AL660" s="3"/>
      <c r="AM660" s="3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8"/>
      <c r="BU660" s="8"/>
      <c r="BV660" s="8"/>
      <c r="BW660" s="8"/>
      <c r="BX660" s="3"/>
      <c r="BY660" s="3"/>
      <c r="BZ660" s="3"/>
      <c r="CA660" s="8"/>
      <c r="CB660" s="8"/>
      <c r="CC660" s="8"/>
      <c r="CD660" s="8"/>
      <c r="CE660" s="8"/>
      <c r="CF660" s="8"/>
      <c r="CG660" s="9"/>
      <c r="CH660" s="8"/>
      <c r="CI660" s="8"/>
      <c r="CJ660" s="8"/>
      <c r="CK660" s="8"/>
      <c r="CL660" s="8"/>
      <c r="CM660" s="8"/>
      <c r="CN660" s="8"/>
      <c r="CO660" s="8"/>
      <c r="CP660" s="8"/>
      <c r="CQ660" s="9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8"/>
      <c r="DE660" s="8"/>
      <c r="DF660" s="9"/>
      <c r="DG660" s="9"/>
      <c r="DH660" s="10"/>
      <c r="DI660" s="9"/>
      <c r="DJ660" s="9"/>
      <c r="DK660" s="3"/>
      <c r="DL660" s="3"/>
      <c r="DM660" s="3"/>
    </row>
    <row r="661" ht="11.25" customHeight="1">
      <c r="A661" s="3"/>
      <c r="B661" s="2"/>
      <c r="C661" s="3"/>
      <c r="D661" s="3"/>
      <c r="E661" s="3"/>
      <c r="F661" s="4"/>
      <c r="G661" s="4"/>
      <c r="H661" s="4"/>
      <c r="I661" s="5"/>
      <c r="J661" s="4"/>
      <c r="K661" s="4"/>
      <c r="L661" s="6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3"/>
      <c r="AL661" s="3"/>
      <c r="AM661" s="3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8"/>
      <c r="BU661" s="8"/>
      <c r="BV661" s="8"/>
      <c r="BW661" s="8"/>
      <c r="BX661" s="3"/>
      <c r="BY661" s="3"/>
      <c r="BZ661" s="3"/>
      <c r="CA661" s="8"/>
      <c r="CB661" s="8"/>
      <c r="CC661" s="8"/>
      <c r="CD661" s="8"/>
      <c r="CE661" s="8"/>
      <c r="CF661" s="8"/>
      <c r="CG661" s="9"/>
      <c r="CH661" s="8"/>
      <c r="CI661" s="8"/>
      <c r="CJ661" s="8"/>
      <c r="CK661" s="8"/>
      <c r="CL661" s="8"/>
      <c r="CM661" s="8"/>
      <c r="CN661" s="8"/>
      <c r="CO661" s="8"/>
      <c r="CP661" s="8"/>
      <c r="CQ661" s="9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8"/>
      <c r="DE661" s="8"/>
      <c r="DF661" s="9"/>
      <c r="DG661" s="9"/>
      <c r="DH661" s="10"/>
      <c r="DI661" s="9"/>
      <c r="DJ661" s="9"/>
      <c r="DK661" s="3"/>
      <c r="DL661" s="3"/>
      <c r="DM661" s="3"/>
    </row>
    <row r="662" ht="11.25" customHeight="1">
      <c r="A662" s="3"/>
      <c r="B662" s="2"/>
      <c r="C662" s="3"/>
      <c r="D662" s="3"/>
      <c r="E662" s="3"/>
      <c r="F662" s="4"/>
      <c r="G662" s="4"/>
      <c r="H662" s="4"/>
      <c r="I662" s="5"/>
      <c r="J662" s="4"/>
      <c r="K662" s="4"/>
      <c r="L662" s="6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3"/>
      <c r="AL662" s="3"/>
      <c r="AM662" s="3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8"/>
      <c r="BU662" s="8"/>
      <c r="BV662" s="8"/>
      <c r="BW662" s="8"/>
      <c r="BX662" s="3"/>
      <c r="BY662" s="3"/>
      <c r="BZ662" s="3"/>
      <c r="CA662" s="8"/>
      <c r="CB662" s="8"/>
      <c r="CC662" s="8"/>
      <c r="CD662" s="8"/>
      <c r="CE662" s="8"/>
      <c r="CF662" s="8"/>
      <c r="CG662" s="9"/>
      <c r="CH662" s="8"/>
      <c r="CI662" s="8"/>
      <c r="CJ662" s="8"/>
      <c r="CK662" s="8"/>
      <c r="CL662" s="8"/>
      <c r="CM662" s="8"/>
      <c r="CN662" s="8"/>
      <c r="CO662" s="8"/>
      <c r="CP662" s="8"/>
      <c r="CQ662" s="9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8"/>
      <c r="DE662" s="8"/>
      <c r="DF662" s="9"/>
      <c r="DG662" s="9"/>
      <c r="DH662" s="10"/>
      <c r="DI662" s="9"/>
      <c r="DJ662" s="9"/>
      <c r="DK662" s="3"/>
      <c r="DL662" s="3"/>
      <c r="DM662" s="3"/>
    </row>
    <row r="663" ht="11.25" customHeight="1">
      <c r="A663" s="3"/>
      <c r="B663" s="2"/>
      <c r="C663" s="3"/>
      <c r="D663" s="3"/>
      <c r="E663" s="3"/>
      <c r="F663" s="4"/>
      <c r="G663" s="4"/>
      <c r="H663" s="4"/>
      <c r="I663" s="5"/>
      <c r="J663" s="4"/>
      <c r="K663" s="4"/>
      <c r="L663" s="6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3"/>
      <c r="AL663" s="3"/>
      <c r="AM663" s="3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8"/>
      <c r="BU663" s="8"/>
      <c r="BV663" s="8"/>
      <c r="BW663" s="8"/>
      <c r="BX663" s="3"/>
      <c r="BY663" s="3"/>
      <c r="BZ663" s="3"/>
      <c r="CA663" s="8"/>
      <c r="CB663" s="8"/>
      <c r="CC663" s="8"/>
      <c r="CD663" s="8"/>
      <c r="CE663" s="8"/>
      <c r="CF663" s="8"/>
      <c r="CG663" s="9"/>
      <c r="CH663" s="8"/>
      <c r="CI663" s="8"/>
      <c r="CJ663" s="8"/>
      <c r="CK663" s="8"/>
      <c r="CL663" s="8"/>
      <c r="CM663" s="8"/>
      <c r="CN663" s="8"/>
      <c r="CO663" s="8"/>
      <c r="CP663" s="8"/>
      <c r="CQ663" s="9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8"/>
      <c r="DE663" s="8"/>
      <c r="DF663" s="9"/>
      <c r="DG663" s="9"/>
      <c r="DH663" s="10"/>
      <c r="DI663" s="9"/>
      <c r="DJ663" s="9"/>
      <c r="DK663" s="3"/>
      <c r="DL663" s="3"/>
      <c r="DM663" s="3"/>
    </row>
    <row r="664" ht="11.25" customHeight="1">
      <c r="A664" s="3"/>
      <c r="B664" s="2"/>
      <c r="C664" s="3"/>
      <c r="D664" s="3"/>
      <c r="E664" s="3"/>
      <c r="F664" s="4"/>
      <c r="G664" s="4"/>
      <c r="H664" s="4"/>
      <c r="I664" s="5"/>
      <c r="J664" s="4"/>
      <c r="K664" s="4"/>
      <c r="L664" s="6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3"/>
      <c r="AL664" s="3"/>
      <c r="AM664" s="3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8"/>
      <c r="BU664" s="8"/>
      <c r="BV664" s="8"/>
      <c r="BW664" s="8"/>
      <c r="BX664" s="3"/>
      <c r="BY664" s="3"/>
      <c r="BZ664" s="3"/>
      <c r="CA664" s="8"/>
      <c r="CB664" s="8"/>
      <c r="CC664" s="8"/>
      <c r="CD664" s="8"/>
      <c r="CE664" s="8"/>
      <c r="CF664" s="8"/>
      <c r="CG664" s="9"/>
      <c r="CH664" s="8"/>
      <c r="CI664" s="8"/>
      <c r="CJ664" s="8"/>
      <c r="CK664" s="8"/>
      <c r="CL664" s="8"/>
      <c r="CM664" s="8"/>
      <c r="CN664" s="8"/>
      <c r="CO664" s="8"/>
      <c r="CP664" s="8"/>
      <c r="CQ664" s="9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8"/>
      <c r="DE664" s="8"/>
      <c r="DF664" s="9"/>
      <c r="DG664" s="9"/>
      <c r="DH664" s="10"/>
      <c r="DI664" s="9"/>
      <c r="DJ664" s="9"/>
      <c r="DK664" s="3"/>
      <c r="DL664" s="3"/>
      <c r="DM664" s="3"/>
    </row>
    <row r="665" ht="11.25" customHeight="1">
      <c r="A665" s="3"/>
      <c r="B665" s="2"/>
      <c r="C665" s="3"/>
      <c r="D665" s="3"/>
      <c r="E665" s="3"/>
      <c r="F665" s="4"/>
      <c r="G665" s="4"/>
      <c r="H665" s="4"/>
      <c r="I665" s="5"/>
      <c r="J665" s="4"/>
      <c r="K665" s="4"/>
      <c r="L665" s="6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3"/>
      <c r="AL665" s="3"/>
      <c r="AM665" s="3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8"/>
      <c r="BU665" s="8"/>
      <c r="BV665" s="8"/>
      <c r="BW665" s="8"/>
      <c r="BX665" s="3"/>
      <c r="BY665" s="3"/>
      <c r="BZ665" s="3"/>
      <c r="CA665" s="8"/>
      <c r="CB665" s="8"/>
      <c r="CC665" s="8"/>
      <c r="CD665" s="8"/>
      <c r="CE665" s="8"/>
      <c r="CF665" s="8"/>
      <c r="CG665" s="9"/>
      <c r="CH665" s="8"/>
      <c r="CI665" s="8"/>
      <c r="CJ665" s="8"/>
      <c r="CK665" s="8"/>
      <c r="CL665" s="8"/>
      <c r="CM665" s="8"/>
      <c r="CN665" s="8"/>
      <c r="CO665" s="8"/>
      <c r="CP665" s="8"/>
      <c r="CQ665" s="9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8"/>
      <c r="DE665" s="8"/>
      <c r="DF665" s="9"/>
      <c r="DG665" s="9"/>
      <c r="DH665" s="10"/>
      <c r="DI665" s="9"/>
      <c r="DJ665" s="9"/>
      <c r="DK665" s="3"/>
      <c r="DL665" s="3"/>
      <c r="DM665" s="3"/>
    </row>
    <row r="666" ht="11.25" customHeight="1">
      <c r="A666" s="3"/>
      <c r="B666" s="2"/>
      <c r="C666" s="3"/>
      <c r="D666" s="3"/>
      <c r="E666" s="3"/>
      <c r="F666" s="4"/>
      <c r="G666" s="4"/>
      <c r="H666" s="4"/>
      <c r="I666" s="5"/>
      <c r="J666" s="4"/>
      <c r="K666" s="4"/>
      <c r="L666" s="6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3"/>
      <c r="AL666" s="3"/>
      <c r="AM666" s="3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8"/>
      <c r="BU666" s="8"/>
      <c r="BV666" s="8"/>
      <c r="BW666" s="8"/>
      <c r="BX666" s="3"/>
      <c r="BY666" s="3"/>
      <c r="BZ666" s="3"/>
      <c r="CA666" s="8"/>
      <c r="CB666" s="8"/>
      <c r="CC666" s="8"/>
      <c r="CD666" s="8"/>
      <c r="CE666" s="8"/>
      <c r="CF666" s="8"/>
      <c r="CG666" s="9"/>
      <c r="CH666" s="8"/>
      <c r="CI666" s="8"/>
      <c r="CJ666" s="8"/>
      <c r="CK666" s="8"/>
      <c r="CL666" s="8"/>
      <c r="CM666" s="8"/>
      <c r="CN666" s="8"/>
      <c r="CO666" s="8"/>
      <c r="CP666" s="8"/>
      <c r="CQ666" s="9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8"/>
      <c r="DE666" s="8"/>
      <c r="DF666" s="9"/>
      <c r="DG666" s="9"/>
      <c r="DH666" s="10"/>
      <c r="DI666" s="9"/>
      <c r="DJ666" s="9"/>
      <c r="DK666" s="3"/>
      <c r="DL666" s="3"/>
      <c r="DM666" s="3"/>
    </row>
    <row r="667" ht="11.25" customHeight="1">
      <c r="A667" s="3"/>
      <c r="B667" s="2"/>
      <c r="C667" s="3"/>
      <c r="D667" s="3"/>
      <c r="E667" s="3"/>
      <c r="F667" s="4"/>
      <c r="G667" s="4"/>
      <c r="H667" s="4"/>
      <c r="I667" s="5"/>
      <c r="J667" s="4"/>
      <c r="K667" s="4"/>
      <c r="L667" s="6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3"/>
      <c r="AL667" s="3"/>
      <c r="AM667" s="3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8"/>
      <c r="BU667" s="8"/>
      <c r="BV667" s="8"/>
      <c r="BW667" s="8"/>
      <c r="BX667" s="3"/>
      <c r="BY667" s="3"/>
      <c r="BZ667" s="3"/>
      <c r="CA667" s="8"/>
      <c r="CB667" s="8"/>
      <c r="CC667" s="8"/>
      <c r="CD667" s="8"/>
      <c r="CE667" s="8"/>
      <c r="CF667" s="8"/>
      <c r="CG667" s="9"/>
      <c r="CH667" s="8"/>
      <c r="CI667" s="8"/>
      <c r="CJ667" s="8"/>
      <c r="CK667" s="8"/>
      <c r="CL667" s="8"/>
      <c r="CM667" s="8"/>
      <c r="CN667" s="8"/>
      <c r="CO667" s="8"/>
      <c r="CP667" s="8"/>
      <c r="CQ667" s="9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8"/>
      <c r="DE667" s="8"/>
      <c r="DF667" s="9"/>
      <c r="DG667" s="9"/>
      <c r="DH667" s="10"/>
      <c r="DI667" s="9"/>
      <c r="DJ667" s="9"/>
      <c r="DK667" s="3"/>
      <c r="DL667" s="3"/>
      <c r="DM667" s="3"/>
    </row>
    <row r="668" ht="11.25" customHeight="1">
      <c r="A668" s="3"/>
      <c r="B668" s="2"/>
      <c r="C668" s="3"/>
      <c r="D668" s="3"/>
      <c r="E668" s="3"/>
      <c r="F668" s="4"/>
      <c r="G668" s="4"/>
      <c r="H668" s="4"/>
      <c r="I668" s="5"/>
      <c r="J668" s="4"/>
      <c r="K668" s="4"/>
      <c r="L668" s="6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3"/>
      <c r="AL668" s="3"/>
      <c r="AM668" s="3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8"/>
      <c r="BU668" s="8"/>
      <c r="BV668" s="8"/>
      <c r="BW668" s="8"/>
      <c r="BX668" s="3"/>
      <c r="BY668" s="3"/>
      <c r="BZ668" s="3"/>
      <c r="CA668" s="8"/>
      <c r="CB668" s="8"/>
      <c r="CC668" s="8"/>
      <c r="CD668" s="8"/>
      <c r="CE668" s="8"/>
      <c r="CF668" s="8"/>
      <c r="CG668" s="9"/>
      <c r="CH668" s="8"/>
      <c r="CI668" s="8"/>
      <c r="CJ668" s="8"/>
      <c r="CK668" s="8"/>
      <c r="CL668" s="8"/>
      <c r="CM668" s="8"/>
      <c r="CN668" s="8"/>
      <c r="CO668" s="8"/>
      <c r="CP668" s="8"/>
      <c r="CQ668" s="9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8"/>
      <c r="DE668" s="8"/>
      <c r="DF668" s="9"/>
      <c r="DG668" s="9"/>
      <c r="DH668" s="10"/>
      <c r="DI668" s="9"/>
      <c r="DJ668" s="9"/>
      <c r="DK668" s="3"/>
      <c r="DL668" s="3"/>
      <c r="DM668" s="3"/>
    </row>
    <row r="669" ht="11.25" customHeight="1">
      <c r="A669" s="3"/>
      <c r="B669" s="2"/>
      <c r="C669" s="3"/>
      <c r="D669" s="3"/>
      <c r="E669" s="3"/>
      <c r="F669" s="4"/>
      <c r="G669" s="4"/>
      <c r="H669" s="4"/>
      <c r="I669" s="5"/>
      <c r="J669" s="4"/>
      <c r="K669" s="4"/>
      <c r="L669" s="6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3"/>
      <c r="AL669" s="3"/>
      <c r="AM669" s="3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8"/>
      <c r="BU669" s="8"/>
      <c r="BV669" s="8"/>
      <c r="BW669" s="8"/>
      <c r="BX669" s="3"/>
      <c r="BY669" s="3"/>
      <c r="BZ669" s="3"/>
      <c r="CA669" s="8"/>
      <c r="CB669" s="8"/>
      <c r="CC669" s="8"/>
      <c r="CD669" s="8"/>
      <c r="CE669" s="8"/>
      <c r="CF669" s="8"/>
      <c r="CG669" s="9"/>
      <c r="CH669" s="8"/>
      <c r="CI669" s="8"/>
      <c r="CJ669" s="8"/>
      <c r="CK669" s="8"/>
      <c r="CL669" s="8"/>
      <c r="CM669" s="8"/>
      <c r="CN669" s="8"/>
      <c r="CO669" s="8"/>
      <c r="CP669" s="8"/>
      <c r="CQ669" s="9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8"/>
      <c r="DE669" s="8"/>
      <c r="DF669" s="9"/>
      <c r="DG669" s="9"/>
      <c r="DH669" s="10"/>
      <c r="DI669" s="9"/>
      <c r="DJ669" s="9"/>
      <c r="DK669" s="3"/>
      <c r="DL669" s="3"/>
      <c r="DM669" s="3"/>
    </row>
    <row r="670" ht="11.25" customHeight="1">
      <c r="A670" s="3"/>
      <c r="B670" s="2"/>
      <c r="C670" s="3"/>
      <c r="D670" s="3"/>
      <c r="E670" s="3"/>
      <c r="F670" s="4"/>
      <c r="G670" s="4"/>
      <c r="H670" s="4"/>
      <c r="I670" s="5"/>
      <c r="J670" s="4"/>
      <c r="K670" s="4"/>
      <c r="L670" s="6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3"/>
      <c r="AL670" s="3"/>
      <c r="AM670" s="3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8"/>
      <c r="BU670" s="8"/>
      <c r="BV670" s="8"/>
      <c r="BW670" s="8"/>
      <c r="BX670" s="3"/>
      <c r="BY670" s="3"/>
      <c r="BZ670" s="3"/>
      <c r="CA670" s="8"/>
      <c r="CB670" s="8"/>
      <c r="CC670" s="8"/>
      <c r="CD670" s="8"/>
      <c r="CE670" s="8"/>
      <c r="CF670" s="8"/>
      <c r="CG670" s="9"/>
      <c r="CH670" s="8"/>
      <c r="CI670" s="8"/>
      <c r="CJ670" s="8"/>
      <c r="CK670" s="8"/>
      <c r="CL670" s="8"/>
      <c r="CM670" s="8"/>
      <c r="CN670" s="8"/>
      <c r="CO670" s="8"/>
      <c r="CP670" s="8"/>
      <c r="CQ670" s="9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8"/>
      <c r="DC670" s="8"/>
      <c r="DD670" s="8"/>
      <c r="DE670" s="8"/>
      <c r="DF670" s="9"/>
      <c r="DG670" s="9"/>
      <c r="DH670" s="10"/>
      <c r="DI670" s="9"/>
      <c r="DJ670" s="9"/>
      <c r="DK670" s="3"/>
      <c r="DL670" s="3"/>
      <c r="DM670" s="3"/>
    </row>
    <row r="671" ht="11.25" customHeight="1">
      <c r="A671" s="3"/>
      <c r="B671" s="2"/>
      <c r="C671" s="3"/>
      <c r="D671" s="3"/>
      <c r="E671" s="3"/>
      <c r="F671" s="4"/>
      <c r="G671" s="4"/>
      <c r="H671" s="4"/>
      <c r="I671" s="5"/>
      <c r="J671" s="4"/>
      <c r="K671" s="4"/>
      <c r="L671" s="6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3"/>
      <c r="AL671" s="3"/>
      <c r="AM671" s="3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8"/>
      <c r="BU671" s="8"/>
      <c r="BV671" s="8"/>
      <c r="BW671" s="8"/>
      <c r="BX671" s="3"/>
      <c r="BY671" s="3"/>
      <c r="BZ671" s="3"/>
      <c r="CA671" s="8"/>
      <c r="CB671" s="8"/>
      <c r="CC671" s="8"/>
      <c r="CD671" s="8"/>
      <c r="CE671" s="8"/>
      <c r="CF671" s="8"/>
      <c r="CG671" s="9"/>
      <c r="CH671" s="8"/>
      <c r="CI671" s="8"/>
      <c r="CJ671" s="8"/>
      <c r="CK671" s="8"/>
      <c r="CL671" s="8"/>
      <c r="CM671" s="8"/>
      <c r="CN671" s="8"/>
      <c r="CO671" s="8"/>
      <c r="CP671" s="8"/>
      <c r="CQ671" s="9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8"/>
      <c r="DE671" s="8"/>
      <c r="DF671" s="9"/>
      <c r="DG671" s="9"/>
      <c r="DH671" s="10"/>
      <c r="DI671" s="9"/>
      <c r="DJ671" s="9"/>
      <c r="DK671" s="3"/>
      <c r="DL671" s="3"/>
      <c r="DM671" s="3"/>
    </row>
    <row r="672" ht="11.25" customHeight="1">
      <c r="A672" s="3"/>
      <c r="B672" s="2"/>
      <c r="C672" s="3"/>
      <c r="D672" s="3"/>
      <c r="E672" s="3"/>
      <c r="F672" s="4"/>
      <c r="G672" s="4"/>
      <c r="H672" s="4"/>
      <c r="I672" s="5"/>
      <c r="J672" s="4"/>
      <c r="K672" s="4"/>
      <c r="L672" s="6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3"/>
      <c r="AL672" s="3"/>
      <c r="AM672" s="3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8"/>
      <c r="BU672" s="8"/>
      <c r="BV672" s="8"/>
      <c r="BW672" s="8"/>
      <c r="BX672" s="3"/>
      <c r="BY672" s="3"/>
      <c r="BZ672" s="3"/>
      <c r="CA672" s="8"/>
      <c r="CB672" s="8"/>
      <c r="CC672" s="8"/>
      <c r="CD672" s="8"/>
      <c r="CE672" s="8"/>
      <c r="CF672" s="8"/>
      <c r="CG672" s="9"/>
      <c r="CH672" s="8"/>
      <c r="CI672" s="8"/>
      <c r="CJ672" s="8"/>
      <c r="CK672" s="8"/>
      <c r="CL672" s="8"/>
      <c r="CM672" s="8"/>
      <c r="CN672" s="8"/>
      <c r="CO672" s="8"/>
      <c r="CP672" s="8"/>
      <c r="CQ672" s="9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8"/>
      <c r="DE672" s="8"/>
      <c r="DF672" s="9"/>
      <c r="DG672" s="9"/>
      <c r="DH672" s="10"/>
      <c r="DI672" s="9"/>
      <c r="DJ672" s="9"/>
      <c r="DK672" s="3"/>
      <c r="DL672" s="3"/>
      <c r="DM672" s="3"/>
    </row>
    <row r="673" ht="11.25" customHeight="1">
      <c r="A673" s="3"/>
      <c r="B673" s="2"/>
      <c r="C673" s="3"/>
      <c r="D673" s="3"/>
      <c r="E673" s="3"/>
      <c r="F673" s="4"/>
      <c r="G673" s="4"/>
      <c r="H673" s="4"/>
      <c r="I673" s="5"/>
      <c r="J673" s="4"/>
      <c r="K673" s="4"/>
      <c r="L673" s="6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3"/>
      <c r="AL673" s="3"/>
      <c r="AM673" s="3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8"/>
      <c r="BU673" s="8"/>
      <c r="BV673" s="8"/>
      <c r="BW673" s="8"/>
      <c r="BX673" s="3"/>
      <c r="BY673" s="3"/>
      <c r="BZ673" s="3"/>
      <c r="CA673" s="8"/>
      <c r="CB673" s="8"/>
      <c r="CC673" s="8"/>
      <c r="CD673" s="8"/>
      <c r="CE673" s="8"/>
      <c r="CF673" s="8"/>
      <c r="CG673" s="9"/>
      <c r="CH673" s="8"/>
      <c r="CI673" s="8"/>
      <c r="CJ673" s="8"/>
      <c r="CK673" s="8"/>
      <c r="CL673" s="8"/>
      <c r="CM673" s="8"/>
      <c r="CN673" s="8"/>
      <c r="CO673" s="8"/>
      <c r="CP673" s="8"/>
      <c r="CQ673" s="9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9"/>
      <c r="DG673" s="9"/>
      <c r="DH673" s="10"/>
      <c r="DI673" s="9"/>
      <c r="DJ673" s="9"/>
      <c r="DK673" s="3"/>
      <c r="DL673" s="3"/>
      <c r="DM673" s="3"/>
    </row>
    <row r="674" ht="11.25" customHeight="1">
      <c r="A674" s="3"/>
      <c r="B674" s="2"/>
      <c r="C674" s="3"/>
      <c r="D674" s="3"/>
      <c r="E674" s="3"/>
      <c r="F674" s="4"/>
      <c r="G674" s="4"/>
      <c r="H674" s="4"/>
      <c r="I674" s="5"/>
      <c r="J674" s="4"/>
      <c r="K674" s="4"/>
      <c r="L674" s="6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3"/>
      <c r="AL674" s="3"/>
      <c r="AM674" s="3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8"/>
      <c r="BU674" s="8"/>
      <c r="BV674" s="8"/>
      <c r="BW674" s="8"/>
      <c r="BX674" s="3"/>
      <c r="BY674" s="3"/>
      <c r="BZ674" s="3"/>
      <c r="CA674" s="8"/>
      <c r="CB674" s="8"/>
      <c r="CC674" s="8"/>
      <c r="CD674" s="8"/>
      <c r="CE674" s="8"/>
      <c r="CF674" s="8"/>
      <c r="CG674" s="9"/>
      <c r="CH674" s="8"/>
      <c r="CI674" s="8"/>
      <c r="CJ674" s="8"/>
      <c r="CK674" s="8"/>
      <c r="CL674" s="8"/>
      <c r="CM674" s="8"/>
      <c r="CN674" s="8"/>
      <c r="CO674" s="8"/>
      <c r="CP674" s="8"/>
      <c r="CQ674" s="9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8"/>
      <c r="DE674" s="8"/>
      <c r="DF674" s="9"/>
      <c r="DG674" s="9"/>
      <c r="DH674" s="10"/>
      <c r="DI674" s="9"/>
      <c r="DJ674" s="9"/>
      <c r="DK674" s="3"/>
      <c r="DL674" s="3"/>
      <c r="DM674" s="3"/>
    </row>
    <row r="675" ht="11.25" customHeight="1">
      <c r="A675" s="3"/>
      <c r="B675" s="2"/>
      <c r="C675" s="3"/>
      <c r="D675" s="3"/>
      <c r="E675" s="3"/>
      <c r="F675" s="4"/>
      <c r="G675" s="4"/>
      <c r="H675" s="4"/>
      <c r="I675" s="5"/>
      <c r="J675" s="4"/>
      <c r="K675" s="4"/>
      <c r="L675" s="6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3"/>
      <c r="AL675" s="3"/>
      <c r="AM675" s="3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8"/>
      <c r="BU675" s="8"/>
      <c r="BV675" s="8"/>
      <c r="BW675" s="8"/>
      <c r="BX675" s="3"/>
      <c r="BY675" s="3"/>
      <c r="BZ675" s="3"/>
      <c r="CA675" s="8"/>
      <c r="CB675" s="8"/>
      <c r="CC675" s="8"/>
      <c r="CD675" s="8"/>
      <c r="CE675" s="8"/>
      <c r="CF675" s="8"/>
      <c r="CG675" s="9"/>
      <c r="CH675" s="8"/>
      <c r="CI675" s="8"/>
      <c r="CJ675" s="8"/>
      <c r="CK675" s="8"/>
      <c r="CL675" s="8"/>
      <c r="CM675" s="8"/>
      <c r="CN675" s="8"/>
      <c r="CO675" s="8"/>
      <c r="CP675" s="8"/>
      <c r="CQ675" s="9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8"/>
      <c r="DE675" s="8"/>
      <c r="DF675" s="9"/>
      <c r="DG675" s="9"/>
      <c r="DH675" s="10"/>
      <c r="DI675" s="9"/>
      <c r="DJ675" s="9"/>
      <c r="DK675" s="3"/>
      <c r="DL675" s="3"/>
      <c r="DM675" s="3"/>
    </row>
    <row r="676" ht="11.25" customHeight="1">
      <c r="A676" s="3"/>
      <c r="B676" s="2"/>
      <c r="C676" s="3"/>
      <c r="D676" s="3"/>
      <c r="E676" s="3"/>
      <c r="F676" s="4"/>
      <c r="G676" s="4"/>
      <c r="H676" s="4"/>
      <c r="I676" s="5"/>
      <c r="J676" s="4"/>
      <c r="K676" s="4"/>
      <c r="L676" s="6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3"/>
      <c r="AL676" s="3"/>
      <c r="AM676" s="3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8"/>
      <c r="BU676" s="8"/>
      <c r="BV676" s="8"/>
      <c r="BW676" s="8"/>
      <c r="BX676" s="3"/>
      <c r="BY676" s="3"/>
      <c r="BZ676" s="3"/>
      <c r="CA676" s="8"/>
      <c r="CB676" s="8"/>
      <c r="CC676" s="8"/>
      <c r="CD676" s="8"/>
      <c r="CE676" s="8"/>
      <c r="CF676" s="8"/>
      <c r="CG676" s="9"/>
      <c r="CH676" s="8"/>
      <c r="CI676" s="8"/>
      <c r="CJ676" s="8"/>
      <c r="CK676" s="8"/>
      <c r="CL676" s="8"/>
      <c r="CM676" s="8"/>
      <c r="CN676" s="8"/>
      <c r="CO676" s="8"/>
      <c r="CP676" s="8"/>
      <c r="CQ676" s="9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8"/>
      <c r="DE676" s="8"/>
      <c r="DF676" s="9"/>
      <c r="DG676" s="9"/>
      <c r="DH676" s="10"/>
      <c r="DI676" s="9"/>
      <c r="DJ676" s="9"/>
      <c r="DK676" s="3"/>
      <c r="DL676" s="3"/>
      <c r="DM676" s="3"/>
    </row>
    <row r="677" ht="11.25" customHeight="1">
      <c r="A677" s="3"/>
      <c r="B677" s="2"/>
      <c r="C677" s="3"/>
      <c r="D677" s="3"/>
      <c r="E677" s="3"/>
      <c r="F677" s="4"/>
      <c r="G677" s="4"/>
      <c r="H677" s="4"/>
      <c r="I677" s="5"/>
      <c r="J677" s="4"/>
      <c r="K677" s="4"/>
      <c r="L677" s="6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3"/>
      <c r="AL677" s="3"/>
      <c r="AM677" s="3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8"/>
      <c r="BU677" s="8"/>
      <c r="BV677" s="8"/>
      <c r="BW677" s="8"/>
      <c r="BX677" s="3"/>
      <c r="BY677" s="3"/>
      <c r="BZ677" s="3"/>
      <c r="CA677" s="8"/>
      <c r="CB677" s="8"/>
      <c r="CC677" s="8"/>
      <c r="CD677" s="8"/>
      <c r="CE677" s="8"/>
      <c r="CF677" s="8"/>
      <c r="CG677" s="9"/>
      <c r="CH677" s="8"/>
      <c r="CI677" s="8"/>
      <c r="CJ677" s="8"/>
      <c r="CK677" s="8"/>
      <c r="CL677" s="8"/>
      <c r="CM677" s="8"/>
      <c r="CN677" s="8"/>
      <c r="CO677" s="8"/>
      <c r="CP677" s="8"/>
      <c r="CQ677" s="9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8"/>
      <c r="DE677" s="8"/>
      <c r="DF677" s="9"/>
      <c r="DG677" s="9"/>
      <c r="DH677" s="10"/>
      <c r="DI677" s="9"/>
      <c r="DJ677" s="9"/>
      <c r="DK677" s="3"/>
      <c r="DL677" s="3"/>
      <c r="DM677" s="3"/>
    </row>
    <row r="678" ht="11.25" customHeight="1">
      <c r="A678" s="3"/>
      <c r="B678" s="2"/>
      <c r="C678" s="3"/>
      <c r="D678" s="3"/>
      <c r="E678" s="3"/>
      <c r="F678" s="4"/>
      <c r="G678" s="4"/>
      <c r="H678" s="4"/>
      <c r="I678" s="5"/>
      <c r="J678" s="4"/>
      <c r="K678" s="4"/>
      <c r="L678" s="6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3"/>
      <c r="AL678" s="3"/>
      <c r="AM678" s="3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8"/>
      <c r="BU678" s="8"/>
      <c r="BV678" s="8"/>
      <c r="BW678" s="8"/>
      <c r="BX678" s="3"/>
      <c r="BY678" s="3"/>
      <c r="BZ678" s="3"/>
      <c r="CA678" s="8"/>
      <c r="CB678" s="8"/>
      <c r="CC678" s="8"/>
      <c r="CD678" s="8"/>
      <c r="CE678" s="8"/>
      <c r="CF678" s="8"/>
      <c r="CG678" s="9"/>
      <c r="CH678" s="8"/>
      <c r="CI678" s="8"/>
      <c r="CJ678" s="8"/>
      <c r="CK678" s="8"/>
      <c r="CL678" s="8"/>
      <c r="CM678" s="8"/>
      <c r="CN678" s="8"/>
      <c r="CO678" s="8"/>
      <c r="CP678" s="8"/>
      <c r="CQ678" s="9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8"/>
      <c r="DE678" s="8"/>
      <c r="DF678" s="9"/>
      <c r="DG678" s="9"/>
      <c r="DH678" s="10"/>
      <c r="DI678" s="9"/>
      <c r="DJ678" s="9"/>
      <c r="DK678" s="3"/>
      <c r="DL678" s="3"/>
      <c r="DM678" s="3"/>
    </row>
    <row r="679" ht="11.25" customHeight="1">
      <c r="A679" s="3"/>
      <c r="B679" s="2"/>
      <c r="C679" s="3"/>
      <c r="D679" s="3"/>
      <c r="E679" s="3"/>
      <c r="F679" s="4"/>
      <c r="G679" s="4"/>
      <c r="H679" s="4"/>
      <c r="I679" s="5"/>
      <c r="J679" s="4"/>
      <c r="K679" s="4"/>
      <c r="L679" s="6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3"/>
      <c r="AL679" s="3"/>
      <c r="AM679" s="3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8"/>
      <c r="BU679" s="8"/>
      <c r="BV679" s="8"/>
      <c r="BW679" s="8"/>
      <c r="BX679" s="3"/>
      <c r="BY679" s="3"/>
      <c r="BZ679" s="3"/>
      <c r="CA679" s="8"/>
      <c r="CB679" s="8"/>
      <c r="CC679" s="8"/>
      <c r="CD679" s="8"/>
      <c r="CE679" s="8"/>
      <c r="CF679" s="8"/>
      <c r="CG679" s="9"/>
      <c r="CH679" s="8"/>
      <c r="CI679" s="8"/>
      <c r="CJ679" s="8"/>
      <c r="CK679" s="8"/>
      <c r="CL679" s="8"/>
      <c r="CM679" s="8"/>
      <c r="CN679" s="8"/>
      <c r="CO679" s="8"/>
      <c r="CP679" s="8"/>
      <c r="CQ679" s="9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8"/>
      <c r="DE679" s="8"/>
      <c r="DF679" s="9"/>
      <c r="DG679" s="9"/>
      <c r="DH679" s="10"/>
      <c r="DI679" s="9"/>
      <c r="DJ679" s="9"/>
      <c r="DK679" s="3"/>
      <c r="DL679" s="3"/>
      <c r="DM679" s="3"/>
    </row>
    <row r="680" ht="11.25" customHeight="1">
      <c r="A680" s="3"/>
      <c r="B680" s="2"/>
      <c r="C680" s="3"/>
      <c r="D680" s="3"/>
      <c r="E680" s="3"/>
      <c r="F680" s="4"/>
      <c r="G680" s="4"/>
      <c r="H680" s="4"/>
      <c r="I680" s="5"/>
      <c r="J680" s="4"/>
      <c r="K680" s="4"/>
      <c r="L680" s="6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3"/>
      <c r="AL680" s="3"/>
      <c r="AM680" s="3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8"/>
      <c r="BU680" s="8"/>
      <c r="BV680" s="8"/>
      <c r="BW680" s="8"/>
      <c r="BX680" s="3"/>
      <c r="BY680" s="3"/>
      <c r="BZ680" s="3"/>
      <c r="CA680" s="8"/>
      <c r="CB680" s="8"/>
      <c r="CC680" s="8"/>
      <c r="CD680" s="8"/>
      <c r="CE680" s="8"/>
      <c r="CF680" s="8"/>
      <c r="CG680" s="9"/>
      <c r="CH680" s="8"/>
      <c r="CI680" s="8"/>
      <c r="CJ680" s="8"/>
      <c r="CK680" s="8"/>
      <c r="CL680" s="8"/>
      <c r="CM680" s="8"/>
      <c r="CN680" s="8"/>
      <c r="CO680" s="8"/>
      <c r="CP680" s="8"/>
      <c r="CQ680" s="9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9"/>
      <c r="DG680" s="9"/>
      <c r="DH680" s="10"/>
      <c r="DI680" s="9"/>
      <c r="DJ680" s="9"/>
      <c r="DK680" s="3"/>
      <c r="DL680" s="3"/>
      <c r="DM680" s="3"/>
    </row>
    <row r="681" ht="11.25" customHeight="1">
      <c r="A681" s="3"/>
      <c r="B681" s="2"/>
      <c r="C681" s="3"/>
      <c r="D681" s="3"/>
      <c r="E681" s="3"/>
      <c r="F681" s="4"/>
      <c r="G681" s="4"/>
      <c r="H681" s="4"/>
      <c r="I681" s="5"/>
      <c r="J681" s="4"/>
      <c r="K681" s="4"/>
      <c r="L681" s="6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3"/>
      <c r="AL681" s="3"/>
      <c r="AM681" s="3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8"/>
      <c r="BU681" s="8"/>
      <c r="BV681" s="8"/>
      <c r="BW681" s="8"/>
      <c r="BX681" s="3"/>
      <c r="BY681" s="3"/>
      <c r="BZ681" s="3"/>
      <c r="CA681" s="8"/>
      <c r="CB681" s="8"/>
      <c r="CC681" s="8"/>
      <c r="CD681" s="8"/>
      <c r="CE681" s="8"/>
      <c r="CF681" s="8"/>
      <c r="CG681" s="9"/>
      <c r="CH681" s="8"/>
      <c r="CI681" s="8"/>
      <c r="CJ681" s="8"/>
      <c r="CK681" s="8"/>
      <c r="CL681" s="8"/>
      <c r="CM681" s="8"/>
      <c r="CN681" s="8"/>
      <c r="CO681" s="8"/>
      <c r="CP681" s="8"/>
      <c r="CQ681" s="9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8"/>
      <c r="DE681" s="8"/>
      <c r="DF681" s="9"/>
      <c r="DG681" s="9"/>
      <c r="DH681" s="10"/>
      <c r="DI681" s="9"/>
      <c r="DJ681" s="9"/>
      <c r="DK681" s="3"/>
      <c r="DL681" s="3"/>
      <c r="DM681" s="3"/>
    </row>
    <row r="682" ht="11.25" customHeight="1">
      <c r="A682" s="3"/>
      <c r="B682" s="2"/>
      <c r="C682" s="3"/>
      <c r="D682" s="3"/>
      <c r="E682" s="3"/>
      <c r="F682" s="4"/>
      <c r="G682" s="4"/>
      <c r="H682" s="4"/>
      <c r="I682" s="5"/>
      <c r="J682" s="4"/>
      <c r="K682" s="4"/>
      <c r="L682" s="6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3"/>
      <c r="AL682" s="3"/>
      <c r="AM682" s="3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8"/>
      <c r="BU682" s="8"/>
      <c r="BV682" s="8"/>
      <c r="BW682" s="8"/>
      <c r="BX682" s="3"/>
      <c r="BY682" s="3"/>
      <c r="BZ682" s="3"/>
      <c r="CA682" s="8"/>
      <c r="CB682" s="8"/>
      <c r="CC682" s="8"/>
      <c r="CD682" s="8"/>
      <c r="CE682" s="8"/>
      <c r="CF682" s="8"/>
      <c r="CG682" s="9"/>
      <c r="CH682" s="8"/>
      <c r="CI682" s="8"/>
      <c r="CJ682" s="8"/>
      <c r="CK682" s="8"/>
      <c r="CL682" s="8"/>
      <c r="CM682" s="8"/>
      <c r="CN682" s="8"/>
      <c r="CO682" s="8"/>
      <c r="CP682" s="8"/>
      <c r="CQ682" s="9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8"/>
      <c r="DC682" s="8"/>
      <c r="DD682" s="8"/>
      <c r="DE682" s="8"/>
      <c r="DF682" s="9"/>
      <c r="DG682" s="9"/>
      <c r="DH682" s="10"/>
      <c r="DI682" s="9"/>
      <c r="DJ682" s="9"/>
      <c r="DK682" s="3"/>
      <c r="DL682" s="3"/>
      <c r="DM682" s="3"/>
    </row>
    <row r="683" ht="11.25" customHeight="1">
      <c r="A683" s="3"/>
      <c r="B683" s="2"/>
      <c r="C683" s="3"/>
      <c r="D683" s="3"/>
      <c r="E683" s="3"/>
      <c r="F683" s="4"/>
      <c r="G683" s="4"/>
      <c r="H683" s="4"/>
      <c r="I683" s="5"/>
      <c r="J683" s="4"/>
      <c r="K683" s="4"/>
      <c r="L683" s="6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3"/>
      <c r="AL683" s="3"/>
      <c r="AM683" s="3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8"/>
      <c r="BU683" s="8"/>
      <c r="BV683" s="8"/>
      <c r="BW683" s="8"/>
      <c r="BX683" s="3"/>
      <c r="BY683" s="3"/>
      <c r="BZ683" s="3"/>
      <c r="CA683" s="8"/>
      <c r="CB683" s="8"/>
      <c r="CC683" s="8"/>
      <c r="CD683" s="8"/>
      <c r="CE683" s="8"/>
      <c r="CF683" s="8"/>
      <c r="CG683" s="9"/>
      <c r="CH683" s="8"/>
      <c r="CI683" s="8"/>
      <c r="CJ683" s="8"/>
      <c r="CK683" s="8"/>
      <c r="CL683" s="8"/>
      <c r="CM683" s="8"/>
      <c r="CN683" s="8"/>
      <c r="CO683" s="8"/>
      <c r="CP683" s="8"/>
      <c r="CQ683" s="9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8"/>
      <c r="DC683" s="8"/>
      <c r="DD683" s="8"/>
      <c r="DE683" s="8"/>
      <c r="DF683" s="9"/>
      <c r="DG683" s="9"/>
      <c r="DH683" s="10"/>
      <c r="DI683" s="9"/>
      <c r="DJ683" s="9"/>
      <c r="DK683" s="3"/>
      <c r="DL683" s="3"/>
      <c r="DM683" s="3"/>
    </row>
    <row r="684" ht="11.25" customHeight="1">
      <c r="A684" s="3"/>
      <c r="B684" s="2"/>
      <c r="C684" s="3"/>
      <c r="D684" s="3"/>
      <c r="E684" s="3"/>
      <c r="F684" s="4"/>
      <c r="G684" s="4"/>
      <c r="H684" s="4"/>
      <c r="I684" s="5"/>
      <c r="J684" s="4"/>
      <c r="K684" s="4"/>
      <c r="L684" s="6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3"/>
      <c r="AL684" s="3"/>
      <c r="AM684" s="3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8"/>
      <c r="BU684" s="8"/>
      <c r="BV684" s="8"/>
      <c r="BW684" s="8"/>
      <c r="BX684" s="3"/>
      <c r="BY684" s="3"/>
      <c r="BZ684" s="3"/>
      <c r="CA684" s="8"/>
      <c r="CB684" s="8"/>
      <c r="CC684" s="8"/>
      <c r="CD684" s="8"/>
      <c r="CE684" s="8"/>
      <c r="CF684" s="8"/>
      <c r="CG684" s="9"/>
      <c r="CH684" s="8"/>
      <c r="CI684" s="8"/>
      <c r="CJ684" s="8"/>
      <c r="CK684" s="8"/>
      <c r="CL684" s="8"/>
      <c r="CM684" s="8"/>
      <c r="CN684" s="8"/>
      <c r="CO684" s="8"/>
      <c r="CP684" s="8"/>
      <c r="CQ684" s="9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8"/>
      <c r="DC684" s="8"/>
      <c r="DD684" s="8"/>
      <c r="DE684" s="8"/>
      <c r="DF684" s="9"/>
      <c r="DG684" s="9"/>
      <c r="DH684" s="10"/>
      <c r="DI684" s="9"/>
      <c r="DJ684" s="9"/>
      <c r="DK684" s="3"/>
      <c r="DL684" s="3"/>
      <c r="DM684" s="3"/>
    </row>
    <row r="685" ht="11.25" customHeight="1">
      <c r="A685" s="3"/>
      <c r="B685" s="2"/>
      <c r="C685" s="3"/>
      <c r="D685" s="3"/>
      <c r="E685" s="3"/>
      <c r="F685" s="4"/>
      <c r="G685" s="4"/>
      <c r="H685" s="4"/>
      <c r="I685" s="5"/>
      <c r="J685" s="4"/>
      <c r="K685" s="4"/>
      <c r="L685" s="6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3"/>
      <c r="AL685" s="3"/>
      <c r="AM685" s="3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8"/>
      <c r="BU685" s="8"/>
      <c r="BV685" s="8"/>
      <c r="BW685" s="8"/>
      <c r="BX685" s="3"/>
      <c r="BY685" s="3"/>
      <c r="BZ685" s="3"/>
      <c r="CA685" s="8"/>
      <c r="CB685" s="8"/>
      <c r="CC685" s="8"/>
      <c r="CD685" s="8"/>
      <c r="CE685" s="8"/>
      <c r="CF685" s="8"/>
      <c r="CG685" s="9"/>
      <c r="CH685" s="8"/>
      <c r="CI685" s="8"/>
      <c r="CJ685" s="8"/>
      <c r="CK685" s="8"/>
      <c r="CL685" s="8"/>
      <c r="CM685" s="8"/>
      <c r="CN685" s="8"/>
      <c r="CO685" s="8"/>
      <c r="CP685" s="8"/>
      <c r="CQ685" s="9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8"/>
      <c r="DC685" s="8"/>
      <c r="DD685" s="8"/>
      <c r="DE685" s="8"/>
      <c r="DF685" s="9"/>
      <c r="DG685" s="9"/>
      <c r="DH685" s="10"/>
      <c r="DI685" s="9"/>
      <c r="DJ685" s="9"/>
      <c r="DK685" s="3"/>
      <c r="DL685" s="3"/>
      <c r="DM685" s="3"/>
    </row>
    <row r="686" ht="11.25" customHeight="1">
      <c r="A686" s="3"/>
      <c r="B686" s="2"/>
      <c r="C686" s="3"/>
      <c r="D686" s="3"/>
      <c r="E686" s="3"/>
      <c r="F686" s="4"/>
      <c r="G686" s="4"/>
      <c r="H686" s="4"/>
      <c r="I686" s="5"/>
      <c r="J686" s="4"/>
      <c r="K686" s="4"/>
      <c r="L686" s="6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3"/>
      <c r="AL686" s="3"/>
      <c r="AM686" s="3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8"/>
      <c r="BU686" s="8"/>
      <c r="BV686" s="8"/>
      <c r="BW686" s="8"/>
      <c r="BX686" s="3"/>
      <c r="BY686" s="3"/>
      <c r="BZ686" s="3"/>
      <c r="CA686" s="8"/>
      <c r="CB686" s="8"/>
      <c r="CC686" s="8"/>
      <c r="CD686" s="8"/>
      <c r="CE686" s="8"/>
      <c r="CF686" s="8"/>
      <c r="CG686" s="9"/>
      <c r="CH686" s="8"/>
      <c r="CI686" s="8"/>
      <c r="CJ686" s="8"/>
      <c r="CK686" s="8"/>
      <c r="CL686" s="8"/>
      <c r="CM686" s="8"/>
      <c r="CN686" s="8"/>
      <c r="CO686" s="8"/>
      <c r="CP686" s="8"/>
      <c r="CQ686" s="9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9"/>
      <c r="DG686" s="9"/>
      <c r="DH686" s="10"/>
      <c r="DI686" s="9"/>
      <c r="DJ686" s="9"/>
      <c r="DK686" s="3"/>
      <c r="DL686" s="3"/>
      <c r="DM686" s="3"/>
    </row>
    <row r="687" ht="11.25" customHeight="1">
      <c r="A687" s="3"/>
      <c r="B687" s="2"/>
      <c r="C687" s="3"/>
      <c r="D687" s="3"/>
      <c r="E687" s="3"/>
      <c r="F687" s="4"/>
      <c r="G687" s="4"/>
      <c r="H687" s="4"/>
      <c r="I687" s="5"/>
      <c r="J687" s="4"/>
      <c r="K687" s="4"/>
      <c r="L687" s="6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3"/>
      <c r="AL687" s="3"/>
      <c r="AM687" s="3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8"/>
      <c r="BU687" s="8"/>
      <c r="BV687" s="8"/>
      <c r="BW687" s="8"/>
      <c r="BX687" s="3"/>
      <c r="BY687" s="3"/>
      <c r="BZ687" s="3"/>
      <c r="CA687" s="8"/>
      <c r="CB687" s="8"/>
      <c r="CC687" s="8"/>
      <c r="CD687" s="8"/>
      <c r="CE687" s="8"/>
      <c r="CF687" s="8"/>
      <c r="CG687" s="9"/>
      <c r="CH687" s="8"/>
      <c r="CI687" s="8"/>
      <c r="CJ687" s="8"/>
      <c r="CK687" s="8"/>
      <c r="CL687" s="8"/>
      <c r="CM687" s="8"/>
      <c r="CN687" s="8"/>
      <c r="CO687" s="8"/>
      <c r="CP687" s="8"/>
      <c r="CQ687" s="9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8"/>
      <c r="DE687" s="8"/>
      <c r="DF687" s="9"/>
      <c r="DG687" s="9"/>
      <c r="DH687" s="10"/>
      <c r="DI687" s="9"/>
      <c r="DJ687" s="9"/>
      <c r="DK687" s="3"/>
      <c r="DL687" s="3"/>
      <c r="DM687" s="3"/>
    </row>
    <row r="688" ht="11.25" customHeight="1">
      <c r="A688" s="3"/>
      <c r="B688" s="2"/>
      <c r="C688" s="3"/>
      <c r="D688" s="3"/>
      <c r="E688" s="3"/>
      <c r="F688" s="4"/>
      <c r="G688" s="4"/>
      <c r="H688" s="4"/>
      <c r="I688" s="5"/>
      <c r="J688" s="4"/>
      <c r="K688" s="4"/>
      <c r="L688" s="6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3"/>
      <c r="AL688" s="3"/>
      <c r="AM688" s="3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8"/>
      <c r="BU688" s="8"/>
      <c r="BV688" s="8"/>
      <c r="BW688" s="8"/>
      <c r="BX688" s="3"/>
      <c r="BY688" s="3"/>
      <c r="BZ688" s="3"/>
      <c r="CA688" s="8"/>
      <c r="CB688" s="8"/>
      <c r="CC688" s="8"/>
      <c r="CD688" s="8"/>
      <c r="CE688" s="8"/>
      <c r="CF688" s="8"/>
      <c r="CG688" s="9"/>
      <c r="CH688" s="8"/>
      <c r="CI688" s="8"/>
      <c r="CJ688" s="8"/>
      <c r="CK688" s="8"/>
      <c r="CL688" s="8"/>
      <c r="CM688" s="8"/>
      <c r="CN688" s="8"/>
      <c r="CO688" s="8"/>
      <c r="CP688" s="8"/>
      <c r="CQ688" s="9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8"/>
      <c r="DE688" s="8"/>
      <c r="DF688" s="9"/>
      <c r="DG688" s="9"/>
      <c r="DH688" s="10"/>
      <c r="DI688" s="9"/>
      <c r="DJ688" s="9"/>
      <c r="DK688" s="3"/>
      <c r="DL688" s="3"/>
      <c r="DM688" s="3"/>
    </row>
    <row r="689" ht="11.25" customHeight="1">
      <c r="A689" s="3"/>
      <c r="B689" s="2"/>
      <c r="C689" s="3"/>
      <c r="D689" s="3"/>
      <c r="E689" s="3"/>
      <c r="F689" s="4"/>
      <c r="G689" s="4"/>
      <c r="H689" s="4"/>
      <c r="I689" s="5"/>
      <c r="J689" s="4"/>
      <c r="K689" s="4"/>
      <c r="L689" s="6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3"/>
      <c r="AL689" s="3"/>
      <c r="AM689" s="3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8"/>
      <c r="BU689" s="8"/>
      <c r="BV689" s="8"/>
      <c r="BW689" s="8"/>
      <c r="BX689" s="3"/>
      <c r="BY689" s="3"/>
      <c r="BZ689" s="3"/>
      <c r="CA689" s="8"/>
      <c r="CB689" s="8"/>
      <c r="CC689" s="8"/>
      <c r="CD689" s="8"/>
      <c r="CE689" s="8"/>
      <c r="CF689" s="8"/>
      <c r="CG689" s="9"/>
      <c r="CH689" s="8"/>
      <c r="CI689" s="8"/>
      <c r="CJ689" s="8"/>
      <c r="CK689" s="8"/>
      <c r="CL689" s="8"/>
      <c r="CM689" s="8"/>
      <c r="CN689" s="8"/>
      <c r="CO689" s="8"/>
      <c r="CP689" s="8"/>
      <c r="CQ689" s="9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9"/>
      <c r="DG689" s="9"/>
      <c r="DH689" s="10"/>
      <c r="DI689" s="9"/>
      <c r="DJ689" s="9"/>
      <c r="DK689" s="3"/>
      <c r="DL689" s="3"/>
      <c r="DM689" s="3"/>
    </row>
    <row r="690" ht="11.25" customHeight="1">
      <c r="A690" s="3"/>
      <c r="B690" s="2"/>
      <c r="C690" s="3"/>
      <c r="D690" s="3"/>
      <c r="E690" s="3"/>
      <c r="F690" s="4"/>
      <c r="G690" s="4"/>
      <c r="H690" s="4"/>
      <c r="I690" s="5"/>
      <c r="J690" s="4"/>
      <c r="K690" s="4"/>
      <c r="L690" s="6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3"/>
      <c r="AL690" s="3"/>
      <c r="AM690" s="3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8"/>
      <c r="BU690" s="8"/>
      <c r="BV690" s="8"/>
      <c r="BW690" s="8"/>
      <c r="BX690" s="3"/>
      <c r="BY690" s="3"/>
      <c r="BZ690" s="3"/>
      <c r="CA690" s="8"/>
      <c r="CB690" s="8"/>
      <c r="CC690" s="8"/>
      <c r="CD690" s="8"/>
      <c r="CE690" s="8"/>
      <c r="CF690" s="8"/>
      <c r="CG690" s="9"/>
      <c r="CH690" s="8"/>
      <c r="CI690" s="8"/>
      <c r="CJ690" s="8"/>
      <c r="CK690" s="8"/>
      <c r="CL690" s="8"/>
      <c r="CM690" s="8"/>
      <c r="CN690" s="8"/>
      <c r="CO690" s="8"/>
      <c r="CP690" s="8"/>
      <c r="CQ690" s="9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9"/>
      <c r="DG690" s="9"/>
      <c r="DH690" s="10"/>
      <c r="DI690" s="9"/>
      <c r="DJ690" s="9"/>
      <c r="DK690" s="3"/>
      <c r="DL690" s="3"/>
      <c r="DM690" s="3"/>
    </row>
    <row r="691" ht="11.25" customHeight="1">
      <c r="A691" s="3"/>
      <c r="B691" s="2"/>
      <c r="C691" s="3"/>
      <c r="D691" s="3"/>
      <c r="E691" s="3"/>
      <c r="F691" s="4"/>
      <c r="G691" s="4"/>
      <c r="H691" s="4"/>
      <c r="I691" s="5"/>
      <c r="J691" s="4"/>
      <c r="K691" s="4"/>
      <c r="L691" s="6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3"/>
      <c r="AL691" s="3"/>
      <c r="AM691" s="3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8"/>
      <c r="BU691" s="8"/>
      <c r="BV691" s="8"/>
      <c r="BW691" s="8"/>
      <c r="BX691" s="3"/>
      <c r="BY691" s="3"/>
      <c r="BZ691" s="3"/>
      <c r="CA691" s="8"/>
      <c r="CB691" s="8"/>
      <c r="CC691" s="8"/>
      <c r="CD691" s="8"/>
      <c r="CE691" s="8"/>
      <c r="CF691" s="8"/>
      <c r="CG691" s="9"/>
      <c r="CH691" s="8"/>
      <c r="CI691" s="8"/>
      <c r="CJ691" s="8"/>
      <c r="CK691" s="8"/>
      <c r="CL691" s="8"/>
      <c r="CM691" s="8"/>
      <c r="CN691" s="8"/>
      <c r="CO691" s="8"/>
      <c r="CP691" s="8"/>
      <c r="CQ691" s="9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9"/>
      <c r="DG691" s="9"/>
      <c r="DH691" s="10"/>
      <c r="DI691" s="9"/>
      <c r="DJ691" s="9"/>
      <c r="DK691" s="3"/>
      <c r="DL691" s="3"/>
      <c r="DM691" s="3"/>
    </row>
    <row r="692" ht="11.25" customHeight="1">
      <c r="A692" s="3"/>
      <c r="B692" s="2"/>
      <c r="C692" s="3"/>
      <c r="D692" s="3"/>
      <c r="E692" s="3"/>
      <c r="F692" s="4"/>
      <c r="G692" s="4"/>
      <c r="H692" s="4"/>
      <c r="I692" s="5"/>
      <c r="J692" s="4"/>
      <c r="K692" s="4"/>
      <c r="L692" s="6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3"/>
      <c r="AL692" s="3"/>
      <c r="AM692" s="3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8"/>
      <c r="BU692" s="8"/>
      <c r="BV692" s="8"/>
      <c r="BW692" s="8"/>
      <c r="BX692" s="3"/>
      <c r="BY692" s="3"/>
      <c r="BZ692" s="3"/>
      <c r="CA692" s="8"/>
      <c r="CB692" s="8"/>
      <c r="CC692" s="8"/>
      <c r="CD692" s="8"/>
      <c r="CE692" s="8"/>
      <c r="CF692" s="8"/>
      <c r="CG692" s="9"/>
      <c r="CH692" s="8"/>
      <c r="CI692" s="8"/>
      <c r="CJ692" s="8"/>
      <c r="CK692" s="8"/>
      <c r="CL692" s="8"/>
      <c r="CM692" s="8"/>
      <c r="CN692" s="8"/>
      <c r="CO692" s="8"/>
      <c r="CP692" s="8"/>
      <c r="CQ692" s="9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9"/>
      <c r="DG692" s="9"/>
      <c r="DH692" s="10"/>
      <c r="DI692" s="9"/>
      <c r="DJ692" s="9"/>
      <c r="DK692" s="3"/>
      <c r="DL692" s="3"/>
      <c r="DM692" s="3"/>
    </row>
    <row r="693" ht="11.25" customHeight="1">
      <c r="A693" s="3"/>
      <c r="B693" s="2"/>
      <c r="C693" s="3"/>
      <c r="D693" s="3"/>
      <c r="E693" s="3"/>
      <c r="F693" s="4"/>
      <c r="G693" s="4"/>
      <c r="H693" s="4"/>
      <c r="I693" s="5"/>
      <c r="J693" s="4"/>
      <c r="K693" s="4"/>
      <c r="L693" s="6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3"/>
      <c r="AL693" s="3"/>
      <c r="AM693" s="3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8"/>
      <c r="BU693" s="8"/>
      <c r="BV693" s="8"/>
      <c r="BW693" s="8"/>
      <c r="BX693" s="3"/>
      <c r="BY693" s="3"/>
      <c r="BZ693" s="3"/>
      <c r="CA693" s="8"/>
      <c r="CB693" s="8"/>
      <c r="CC693" s="8"/>
      <c r="CD693" s="8"/>
      <c r="CE693" s="8"/>
      <c r="CF693" s="8"/>
      <c r="CG693" s="9"/>
      <c r="CH693" s="8"/>
      <c r="CI693" s="8"/>
      <c r="CJ693" s="8"/>
      <c r="CK693" s="8"/>
      <c r="CL693" s="8"/>
      <c r="CM693" s="8"/>
      <c r="CN693" s="8"/>
      <c r="CO693" s="8"/>
      <c r="CP693" s="8"/>
      <c r="CQ693" s="9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9"/>
      <c r="DG693" s="9"/>
      <c r="DH693" s="10"/>
      <c r="DI693" s="9"/>
      <c r="DJ693" s="9"/>
      <c r="DK693" s="3"/>
      <c r="DL693" s="3"/>
      <c r="DM693" s="3"/>
    </row>
    <row r="694" ht="11.25" customHeight="1">
      <c r="A694" s="3"/>
      <c r="B694" s="2"/>
      <c r="C694" s="3"/>
      <c r="D694" s="3"/>
      <c r="E694" s="3"/>
      <c r="F694" s="4"/>
      <c r="G694" s="4"/>
      <c r="H694" s="4"/>
      <c r="I694" s="5"/>
      <c r="J694" s="4"/>
      <c r="K694" s="4"/>
      <c r="L694" s="6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3"/>
      <c r="AL694" s="3"/>
      <c r="AM694" s="3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8"/>
      <c r="BU694" s="8"/>
      <c r="BV694" s="8"/>
      <c r="BW694" s="8"/>
      <c r="BX694" s="3"/>
      <c r="BY694" s="3"/>
      <c r="BZ694" s="3"/>
      <c r="CA694" s="8"/>
      <c r="CB694" s="8"/>
      <c r="CC694" s="8"/>
      <c r="CD694" s="8"/>
      <c r="CE694" s="8"/>
      <c r="CF694" s="8"/>
      <c r="CG694" s="9"/>
      <c r="CH694" s="8"/>
      <c r="CI694" s="8"/>
      <c r="CJ694" s="8"/>
      <c r="CK694" s="8"/>
      <c r="CL694" s="8"/>
      <c r="CM694" s="8"/>
      <c r="CN694" s="8"/>
      <c r="CO694" s="8"/>
      <c r="CP694" s="8"/>
      <c r="CQ694" s="9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9"/>
      <c r="DG694" s="9"/>
      <c r="DH694" s="10"/>
      <c r="DI694" s="9"/>
      <c r="DJ694" s="9"/>
      <c r="DK694" s="3"/>
      <c r="DL694" s="3"/>
      <c r="DM694" s="3"/>
    </row>
    <row r="695" ht="11.25" customHeight="1">
      <c r="A695" s="3"/>
      <c r="B695" s="2"/>
      <c r="C695" s="3"/>
      <c r="D695" s="3"/>
      <c r="E695" s="3"/>
      <c r="F695" s="4"/>
      <c r="G695" s="4"/>
      <c r="H695" s="4"/>
      <c r="I695" s="5"/>
      <c r="J695" s="4"/>
      <c r="K695" s="4"/>
      <c r="L695" s="6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3"/>
      <c r="AL695" s="3"/>
      <c r="AM695" s="3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8"/>
      <c r="BU695" s="8"/>
      <c r="BV695" s="8"/>
      <c r="BW695" s="8"/>
      <c r="BX695" s="3"/>
      <c r="BY695" s="3"/>
      <c r="BZ695" s="3"/>
      <c r="CA695" s="8"/>
      <c r="CB695" s="8"/>
      <c r="CC695" s="8"/>
      <c r="CD695" s="8"/>
      <c r="CE695" s="8"/>
      <c r="CF695" s="8"/>
      <c r="CG695" s="9"/>
      <c r="CH695" s="8"/>
      <c r="CI695" s="8"/>
      <c r="CJ695" s="8"/>
      <c r="CK695" s="8"/>
      <c r="CL695" s="8"/>
      <c r="CM695" s="8"/>
      <c r="CN695" s="8"/>
      <c r="CO695" s="8"/>
      <c r="CP695" s="8"/>
      <c r="CQ695" s="9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8"/>
      <c r="DE695" s="8"/>
      <c r="DF695" s="9"/>
      <c r="DG695" s="9"/>
      <c r="DH695" s="10"/>
      <c r="DI695" s="9"/>
      <c r="DJ695" s="9"/>
      <c r="DK695" s="3"/>
      <c r="DL695" s="3"/>
      <c r="DM695" s="3"/>
    </row>
    <row r="696" ht="11.25" customHeight="1">
      <c r="A696" s="3"/>
      <c r="B696" s="2"/>
      <c r="C696" s="3"/>
      <c r="D696" s="3"/>
      <c r="E696" s="3"/>
      <c r="F696" s="4"/>
      <c r="G696" s="4"/>
      <c r="H696" s="4"/>
      <c r="I696" s="5"/>
      <c r="J696" s="4"/>
      <c r="K696" s="4"/>
      <c r="L696" s="6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3"/>
      <c r="AL696" s="3"/>
      <c r="AM696" s="3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8"/>
      <c r="BU696" s="8"/>
      <c r="BV696" s="8"/>
      <c r="BW696" s="8"/>
      <c r="BX696" s="3"/>
      <c r="BY696" s="3"/>
      <c r="BZ696" s="3"/>
      <c r="CA696" s="8"/>
      <c r="CB696" s="8"/>
      <c r="CC696" s="8"/>
      <c r="CD696" s="8"/>
      <c r="CE696" s="8"/>
      <c r="CF696" s="8"/>
      <c r="CG696" s="9"/>
      <c r="CH696" s="8"/>
      <c r="CI696" s="8"/>
      <c r="CJ696" s="8"/>
      <c r="CK696" s="8"/>
      <c r="CL696" s="8"/>
      <c r="CM696" s="8"/>
      <c r="CN696" s="8"/>
      <c r="CO696" s="8"/>
      <c r="CP696" s="8"/>
      <c r="CQ696" s="9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9"/>
      <c r="DG696" s="9"/>
      <c r="DH696" s="10"/>
      <c r="DI696" s="9"/>
      <c r="DJ696" s="9"/>
      <c r="DK696" s="3"/>
      <c r="DL696" s="3"/>
      <c r="DM696" s="3"/>
    </row>
    <row r="697" ht="11.25" customHeight="1">
      <c r="A697" s="3"/>
      <c r="B697" s="2"/>
      <c r="C697" s="3"/>
      <c r="D697" s="3"/>
      <c r="E697" s="3"/>
      <c r="F697" s="4"/>
      <c r="G697" s="4"/>
      <c r="H697" s="4"/>
      <c r="I697" s="5"/>
      <c r="J697" s="4"/>
      <c r="K697" s="4"/>
      <c r="L697" s="6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3"/>
      <c r="AL697" s="3"/>
      <c r="AM697" s="3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8"/>
      <c r="BU697" s="8"/>
      <c r="BV697" s="8"/>
      <c r="BW697" s="8"/>
      <c r="BX697" s="3"/>
      <c r="BY697" s="3"/>
      <c r="BZ697" s="3"/>
      <c r="CA697" s="8"/>
      <c r="CB697" s="8"/>
      <c r="CC697" s="8"/>
      <c r="CD697" s="8"/>
      <c r="CE697" s="8"/>
      <c r="CF697" s="8"/>
      <c r="CG697" s="9"/>
      <c r="CH697" s="8"/>
      <c r="CI697" s="8"/>
      <c r="CJ697" s="8"/>
      <c r="CK697" s="8"/>
      <c r="CL697" s="8"/>
      <c r="CM697" s="8"/>
      <c r="CN697" s="8"/>
      <c r="CO697" s="8"/>
      <c r="CP697" s="8"/>
      <c r="CQ697" s="9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9"/>
      <c r="DG697" s="9"/>
      <c r="DH697" s="10"/>
      <c r="DI697" s="9"/>
      <c r="DJ697" s="9"/>
      <c r="DK697" s="3"/>
      <c r="DL697" s="3"/>
      <c r="DM697" s="3"/>
    </row>
    <row r="698" ht="11.25" customHeight="1">
      <c r="A698" s="3"/>
      <c r="B698" s="2"/>
      <c r="C698" s="3"/>
      <c r="D698" s="3"/>
      <c r="E698" s="3"/>
      <c r="F698" s="4"/>
      <c r="G698" s="4"/>
      <c r="H698" s="4"/>
      <c r="I698" s="5"/>
      <c r="J698" s="4"/>
      <c r="K698" s="4"/>
      <c r="L698" s="6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3"/>
      <c r="AL698" s="3"/>
      <c r="AM698" s="3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8"/>
      <c r="BU698" s="8"/>
      <c r="BV698" s="8"/>
      <c r="BW698" s="8"/>
      <c r="BX698" s="3"/>
      <c r="BY698" s="3"/>
      <c r="BZ698" s="3"/>
      <c r="CA698" s="8"/>
      <c r="CB698" s="8"/>
      <c r="CC698" s="8"/>
      <c r="CD698" s="8"/>
      <c r="CE698" s="8"/>
      <c r="CF698" s="8"/>
      <c r="CG698" s="9"/>
      <c r="CH698" s="8"/>
      <c r="CI698" s="8"/>
      <c r="CJ698" s="8"/>
      <c r="CK698" s="8"/>
      <c r="CL698" s="8"/>
      <c r="CM698" s="8"/>
      <c r="CN698" s="8"/>
      <c r="CO698" s="8"/>
      <c r="CP698" s="8"/>
      <c r="CQ698" s="9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9"/>
      <c r="DG698" s="9"/>
      <c r="DH698" s="10"/>
      <c r="DI698" s="9"/>
      <c r="DJ698" s="9"/>
      <c r="DK698" s="3"/>
      <c r="DL698" s="3"/>
      <c r="DM698" s="3"/>
    </row>
    <row r="699" ht="11.25" customHeight="1">
      <c r="A699" s="3"/>
      <c r="B699" s="2"/>
      <c r="C699" s="3"/>
      <c r="D699" s="3"/>
      <c r="E699" s="3"/>
      <c r="F699" s="4"/>
      <c r="G699" s="4"/>
      <c r="H699" s="4"/>
      <c r="I699" s="5"/>
      <c r="J699" s="4"/>
      <c r="K699" s="4"/>
      <c r="L699" s="6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3"/>
      <c r="AL699" s="3"/>
      <c r="AM699" s="3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8"/>
      <c r="BU699" s="8"/>
      <c r="BV699" s="8"/>
      <c r="BW699" s="8"/>
      <c r="BX699" s="3"/>
      <c r="BY699" s="3"/>
      <c r="BZ699" s="3"/>
      <c r="CA699" s="8"/>
      <c r="CB699" s="8"/>
      <c r="CC699" s="8"/>
      <c r="CD699" s="8"/>
      <c r="CE699" s="8"/>
      <c r="CF699" s="8"/>
      <c r="CG699" s="9"/>
      <c r="CH699" s="8"/>
      <c r="CI699" s="8"/>
      <c r="CJ699" s="8"/>
      <c r="CK699" s="8"/>
      <c r="CL699" s="8"/>
      <c r="CM699" s="8"/>
      <c r="CN699" s="8"/>
      <c r="CO699" s="8"/>
      <c r="CP699" s="8"/>
      <c r="CQ699" s="9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9"/>
      <c r="DG699" s="9"/>
      <c r="DH699" s="10"/>
      <c r="DI699" s="9"/>
      <c r="DJ699" s="9"/>
      <c r="DK699" s="3"/>
      <c r="DL699" s="3"/>
      <c r="DM699" s="3"/>
    </row>
    <row r="700" ht="11.25" customHeight="1">
      <c r="A700" s="3"/>
      <c r="B700" s="2"/>
      <c r="C700" s="3"/>
      <c r="D700" s="3"/>
      <c r="E700" s="3"/>
      <c r="F700" s="4"/>
      <c r="G700" s="4"/>
      <c r="H700" s="4"/>
      <c r="I700" s="5"/>
      <c r="J700" s="4"/>
      <c r="K700" s="4"/>
      <c r="L700" s="6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3"/>
      <c r="AL700" s="3"/>
      <c r="AM700" s="3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8"/>
      <c r="BU700" s="8"/>
      <c r="BV700" s="8"/>
      <c r="BW700" s="8"/>
      <c r="BX700" s="3"/>
      <c r="BY700" s="3"/>
      <c r="BZ700" s="3"/>
      <c r="CA700" s="8"/>
      <c r="CB700" s="8"/>
      <c r="CC700" s="8"/>
      <c r="CD700" s="8"/>
      <c r="CE700" s="8"/>
      <c r="CF700" s="8"/>
      <c r="CG700" s="9"/>
      <c r="CH700" s="8"/>
      <c r="CI700" s="8"/>
      <c r="CJ700" s="8"/>
      <c r="CK700" s="8"/>
      <c r="CL700" s="8"/>
      <c r="CM700" s="8"/>
      <c r="CN700" s="8"/>
      <c r="CO700" s="8"/>
      <c r="CP700" s="8"/>
      <c r="CQ700" s="9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9"/>
      <c r="DG700" s="9"/>
      <c r="DH700" s="10"/>
      <c r="DI700" s="9"/>
      <c r="DJ700" s="9"/>
      <c r="DK700" s="3"/>
      <c r="DL700" s="3"/>
      <c r="DM700" s="3"/>
    </row>
    <row r="701" ht="11.25" customHeight="1">
      <c r="A701" s="3"/>
      <c r="B701" s="2"/>
      <c r="C701" s="3"/>
      <c r="D701" s="3"/>
      <c r="E701" s="3"/>
      <c r="F701" s="4"/>
      <c r="G701" s="4"/>
      <c r="H701" s="4"/>
      <c r="I701" s="5"/>
      <c r="J701" s="4"/>
      <c r="K701" s="4"/>
      <c r="L701" s="6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3"/>
      <c r="AL701" s="3"/>
      <c r="AM701" s="3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8"/>
      <c r="BU701" s="8"/>
      <c r="BV701" s="8"/>
      <c r="BW701" s="8"/>
      <c r="BX701" s="3"/>
      <c r="BY701" s="3"/>
      <c r="BZ701" s="3"/>
      <c r="CA701" s="8"/>
      <c r="CB701" s="8"/>
      <c r="CC701" s="8"/>
      <c r="CD701" s="8"/>
      <c r="CE701" s="8"/>
      <c r="CF701" s="8"/>
      <c r="CG701" s="9"/>
      <c r="CH701" s="8"/>
      <c r="CI701" s="8"/>
      <c r="CJ701" s="8"/>
      <c r="CK701" s="8"/>
      <c r="CL701" s="8"/>
      <c r="CM701" s="8"/>
      <c r="CN701" s="8"/>
      <c r="CO701" s="8"/>
      <c r="CP701" s="8"/>
      <c r="CQ701" s="9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9"/>
      <c r="DG701" s="9"/>
      <c r="DH701" s="10"/>
      <c r="DI701" s="9"/>
      <c r="DJ701" s="9"/>
      <c r="DK701" s="3"/>
      <c r="DL701" s="3"/>
      <c r="DM701" s="3"/>
    </row>
    <row r="702" ht="11.25" customHeight="1">
      <c r="A702" s="3"/>
      <c r="B702" s="2"/>
      <c r="C702" s="3"/>
      <c r="D702" s="3"/>
      <c r="E702" s="3"/>
      <c r="F702" s="4"/>
      <c r="G702" s="4"/>
      <c r="H702" s="4"/>
      <c r="I702" s="5"/>
      <c r="J702" s="4"/>
      <c r="K702" s="4"/>
      <c r="L702" s="6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3"/>
      <c r="AL702" s="3"/>
      <c r="AM702" s="3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8"/>
      <c r="BU702" s="8"/>
      <c r="BV702" s="8"/>
      <c r="BW702" s="8"/>
      <c r="BX702" s="3"/>
      <c r="BY702" s="3"/>
      <c r="BZ702" s="3"/>
      <c r="CA702" s="8"/>
      <c r="CB702" s="8"/>
      <c r="CC702" s="8"/>
      <c r="CD702" s="8"/>
      <c r="CE702" s="8"/>
      <c r="CF702" s="8"/>
      <c r="CG702" s="9"/>
      <c r="CH702" s="8"/>
      <c r="CI702" s="8"/>
      <c r="CJ702" s="8"/>
      <c r="CK702" s="8"/>
      <c r="CL702" s="8"/>
      <c r="CM702" s="8"/>
      <c r="CN702" s="8"/>
      <c r="CO702" s="8"/>
      <c r="CP702" s="8"/>
      <c r="CQ702" s="9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9"/>
      <c r="DG702" s="9"/>
      <c r="DH702" s="10"/>
      <c r="DI702" s="9"/>
      <c r="DJ702" s="9"/>
      <c r="DK702" s="3"/>
      <c r="DL702" s="3"/>
      <c r="DM702" s="3"/>
    </row>
    <row r="703" ht="11.25" customHeight="1">
      <c r="A703" s="3"/>
      <c r="B703" s="2"/>
      <c r="C703" s="3"/>
      <c r="D703" s="3"/>
      <c r="E703" s="3"/>
      <c r="F703" s="4"/>
      <c r="G703" s="4"/>
      <c r="H703" s="4"/>
      <c r="I703" s="5"/>
      <c r="J703" s="4"/>
      <c r="K703" s="4"/>
      <c r="L703" s="6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3"/>
      <c r="AL703" s="3"/>
      <c r="AM703" s="3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8"/>
      <c r="BU703" s="8"/>
      <c r="BV703" s="8"/>
      <c r="BW703" s="8"/>
      <c r="BX703" s="3"/>
      <c r="BY703" s="3"/>
      <c r="BZ703" s="3"/>
      <c r="CA703" s="8"/>
      <c r="CB703" s="8"/>
      <c r="CC703" s="8"/>
      <c r="CD703" s="8"/>
      <c r="CE703" s="8"/>
      <c r="CF703" s="8"/>
      <c r="CG703" s="9"/>
      <c r="CH703" s="8"/>
      <c r="CI703" s="8"/>
      <c r="CJ703" s="8"/>
      <c r="CK703" s="8"/>
      <c r="CL703" s="8"/>
      <c r="CM703" s="8"/>
      <c r="CN703" s="8"/>
      <c r="CO703" s="8"/>
      <c r="CP703" s="8"/>
      <c r="CQ703" s="9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9"/>
      <c r="DG703" s="9"/>
      <c r="DH703" s="10"/>
      <c r="DI703" s="9"/>
      <c r="DJ703" s="9"/>
      <c r="DK703" s="3"/>
      <c r="DL703" s="3"/>
      <c r="DM703" s="3"/>
    </row>
    <row r="704" ht="11.25" customHeight="1">
      <c r="A704" s="3"/>
      <c r="B704" s="2"/>
      <c r="C704" s="3"/>
      <c r="D704" s="3"/>
      <c r="E704" s="3"/>
      <c r="F704" s="4"/>
      <c r="G704" s="4"/>
      <c r="H704" s="4"/>
      <c r="I704" s="5"/>
      <c r="J704" s="4"/>
      <c r="K704" s="4"/>
      <c r="L704" s="6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3"/>
      <c r="AL704" s="3"/>
      <c r="AM704" s="3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8"/>
      <c r="BU704" s="8"/>
      <c r="BV704" s="8"/>
      <c r="BW704" s="8"/>
      <c r="BX704" s="3"/>
      <c r="BY704" s="3"/>
      <c r="BZ704" s="3"/>
      <c r="CA704" s="8"/>
      <c r="CB704" s="8"/>
      <c r="CC704" s="8"/>
      <c r="CD704" s="8"/>
      <c r="CE704" s="8"/>
      <c r="CF704" s="8"/>
      <c r="CG704" s="9"/>
      <c r="CH704" s="8"/>
      <c r="CI704" s="8"/>
      <c r="CJ704" s="8"/>
      <c r="CK704" s="8"/>
      <c r="CL704" s="8"/>
      <c r="CM704" s="8"/>
      <c r="CN704" s="8"/>
      <c r="CO704" s="8"/>
      <c r="CP704" s="8"/>
      <c r="CQ704" s="9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8"/>
      <c r="DE704" s="8"/>
      <c r="DF704" s="9"/>
      <c r="DG704" s="9"/>
      <c r="DH704" s="10"/>
      <c r="DI704" s="9"/>
      <c r="DJ704" s="9"/>
      <c r="DK704" s="3"/>
      <c r="DL704" s="3"/>
      <c r="DM704" s="3"/>
    </row>
    <row r="705" ht="11.25" customHeight="1">
      <c r="A705" s="3"/>
      <c r="B705" s="2"/>
      <c r="C705" s="3"/>
      <c r="D705" s="3"/>
      <c r="E705" s="3"/>
      <c r="F705" s="4"/>
      <c r="G705" s="4"/>
      <c r="H705" s="4"/>
      <c r="I705" s="5"/>
      <c r="J705" s="4"/>
      <c r="K705" s="4"/>
      <c r="L705" s="6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3"/>
      <c r="AL705" s="3"/>
      <c r="AM705" s="3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8"/>
      <c r="BU705" s="8"/>
      <c r="BV705" s="8"/>
      <c r="BW705" s="8"/>
      <c r="BX705" s="3"/>
      <c r="BY705" s="3"/>
      <c r="BZ705" s="3"/>
      <c r="CA705" s="8"/>
      <c r="CB705" s="8"/>
      <c r="CC705" s="8"/>
      <c r="CD705" s="8"/>
      <c r="CE705" s="8"/>
      <c r="CF705" s="8"/>
      <c r="CG705" s="9"/>
      <c r="CH705" s="8"/>
      <c r="CI705" s="8"/>
      <c r="CJ705" s="8"/>
      <c r="CK705" s="8"/>
      <c r="CL705" s="8"/>
      <c r="CM705" s="8"/>
      <c r="CN705" s="8"/>
      <c r="CO705" s="8"/>
      <c r="CP705" s="8"/>
      <c r="CQ705" s="9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9"/>
      <c r="DG705" s="9"/>
      <c r="DH705" s="10"/>
      <c r="DI705" s="9"/>
      <c r="DJ705" s="9"/>
      <c r="DK705" s="3"/>
      <c r="DL705" s="3"/>
      <c r="DM705" s="3"/>
    </row>
    <row r="706" ht="11.25" customHeight="1">
      <c r="A706" s="3"/>
      <c r="B706" s="2"/>
      <c r="C706" s="3"/>
      <c r="D706" s="3"/>
      <c r="E706" s="3"/>
      <c r="F706" s="4"/>
      <c r="G706" s="4"/>
      <c r="H706" s="4"/>
      <c r="I706" s="5"/>
      <c r="J706" s="4"/>
      <c r="K706" s="4"/>
      <c r="L706" s="6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3"/>
      <c r="AL706" s="3"/>
      <c r="AM706" s="3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8"/>
      <c r="BU706" s="8"/>
      <c r="BV706" s="8"/>
      <c r="BW706" s="8"/>
      <c r="BX706" s="3"/>
      <c r="BY706" s="3"/>
      <c r="BZ706" s="3"/>
      <c r="CA706" s="8"/>
      <c r="CB706" s="8"/>
      <c r="CC706" s="8"/>
      <c r="CD706" s="8"/>
      <c r="CE706" s="8"/>
      <c r="CF706" s="8"/>
      <c r="CG706" s="9"/>
      <c r="CH706" s="8"/>
      <c r="CI706" s="8"/>
      <c r="CJ706" s="8"/>
      <c r="CK706" s="8"/>
      <c r="CL706" s="8"/>
      <c r="CM706" s="8"/>
      <c r="CN706" s="8"/>
      <c r="CO706" s="8"/>
      <c r="CP706" s="8"/>
      <c r="CQ706" s="9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8"/>
      <c r="DE706" s="8"/>
      <c r="DF706" s="9"/>
      <c r="DG706" s="9"/>
      <c r="DH706" s="10"/>
      <c r="DI706" s="9"/>
      <c r="DJ706" s="9"/>
      <c r="DK706" s="3"/>
      <c r="DL706" s="3"/>
      <c r="DM706" s="3"/>
    </row>
    <row r="707" ht="11.25" customHeight="1">
      <c r="A707" s="3"/>
      <c r="B707" s="2"/>
      <c r="C707" s="3"/>
      <c r="D707" s="3"/>
      <c r="E707" s="3"/>
      <c r="F707" s="4"/>
      <c r="G707" s="4"/>
      <c r="H707" s="4"/>
      <c r="I707" s="5"/>
      <c r="J707" s="4"/>
      <c r="K707" s="4"/>
      <c r="L707" s="6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3"/>
      <c r="AL707" s="3"/>
      <c r="AM707" s="3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8"/>
      <c r="BU707" s="8"/>
      <c r="BV707" s="8"/>
      <c r="BW707" s="8"/>
      <c r="BX707" s="3"/>
      <c r="BY707" s="3"/>
      <c r="BZ707" s="3"/>
      <c r="CA707" s="8"/>
      <c r="CB707" s="8"/>
      <c r="CC707" s="8"/>
      <c r="CD707" s="8"/>
      <c r="CE707" s="8"/>
      <c r="CF707" s="8"/>
      <c r="CG707" s="9"/>
      <c r="CH707" s="8"/>
      <c r="CI707" s="8"/>
      <c r="CJ707" s="8"/>
      <c r="CK707" s="8"/>
      <c r="CL707" s="8"/>
      <c r="CM707" s="8"/>
      <c r="CN707" s="8"/>
      <c r="CO707" s="8"/>
      <c r="CP707" s="8"/>
      <c r="CQ707" s="9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8"/>
      <c r="DE707" s="8"/>
      <c r="DF707" s="9"/>
      <c r="DG707" s="9"/>
      <c r="DH707" s="10"/>
      <c r="DI707" s="9"/>
      <c r="DJ707" s="9"/>
      <c r="DK707" s="3"/>
      <c r="DL707" s="3"/>
      <c r="DM707" s="3"/>
    </row>
    <row r="708" ht="11.25" customHeight="1">
      <c r="A708" s="3"/>
      <c r="B708" s="2"/>
      <c r="C708" s="3"/>
      <c r="D708" s="3"/>
      <c r="E708" s="3"/>
      <c r="F708" s="4"/>
      <c r="G708" s="4"/>
      <c r="H708" s="4"/>
      <c r="I708" s="5"/>
      <c r="J708" s="4"/>
      <c r="K708" s="4"/>
      <c r="L708" s="6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3"/>
      <c r="AL708" s="3"/>
      <c r="AM708" s="3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8"/>
      <c r="BU708" s="8"/>
      <c r="BV708" s="8"/>
      <c r="BW708" s="8"/>
      <c r="BX708" s="3"/>
      <c r="BY708" s="3"/>
      <c r="BZ708" s="3"/>
      <c r="CA708" s="8"/>
      <c r="CB708" s="8"/>
      <c r="CC708" s="8"/>
      <c r="CD708" s="8"/>
      <c r="CE708" s="8"/>
      <c r="CF708" s="8"/>
      <c r="CG708" s="9"/>
      <c r="CH708" s="8"/>
      <c r="CI708" s="8"/>
      <c r="CJ708" s="8"/>
      <c r="CK708" s="8"/>
      <c r="CL708" s="8"/>
      <c r="CM708" s="8"/>
      <c r="CN708" s="8"/>
      <c r="CO708" s="8"/>
      <c r="CP708" s="8"/>
      <c r="CQ708" s="9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8"/>
      <c r="DE708" s="8"/>
      <c r="DF708" s="9"/>
      <c r="DG708" s="9"/>
      <c r="DH708" s="10"/>
      <c r="DI708" s="9"/>
      <c r="DJ708" s="9"/>
      <c r="DK708" s="3"/>
      <c r="DL708" s="3"/>
      <c r="DM708" s="3"/>
    </row>
    <row r="709" ht="11.25" customHeight="1">
      <c r="A709" s="3"/>
      <c r="B709" s="2"/>
      <c r="C709" s="3"/>
      <c r="D709" s="3"/>
      <c r="E709" s="3"/>
      <c r="F709" s="4"/>
      <c r="G709" s="4"/>
      <c r="H709" s="4"/>
      <c r="I709" s="5"/>
      <c r="J709" s="4"/>
      <c r="K709" s="4"/>
      <c r="L709" s="6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3"/>
      <c r="AL709" s="3"/>
      <c r="AM709" s="3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8"/>
      <c r="BU709" s="8"/>
      <c r="BV709" s="8"/>
      <c r="BW709" s="8"/>
      <c r="BX709" s="3"/>
      <c r="BY709" s="3"/>
      <c r="BZ709" s="3"/>
      <c r="CA709" s="8"/>
      <c r="CB709" s="8"/>
      <c r="CC709" s="8"/>
      <c r="CD709" s="8"/>
      <c r="CE709" s="8"/>
      <c r="CF709" s="8"/>
      <c r="CG709" s="9"/>
      <c r="CH709" s="8"/>
      <c r="CI709" s="8"/>
      <c r="CJ709" s="8"/>
      <c r="CK709" s="8"/>
      <c r="CL709" s="8"/>
      <c r="CM709" s="8"/>
      <c r="CN709" s="8"/>
      <c r="CO709" s="8"/>
      <c r="CP709" s="8"/>
      <c r="CQ709" s="9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8"/>
      <c r="DE709" s="8"/>
      <c r="DF709" s="9"/>
      <c r="DG709" s="9"/>
      <c r="DH709" s="10"/>
      <c r="DI709" s="9"/>
      <c r="DJ709" s="9"/>
      <c r="DK709" s="3"/>
      <c r="DL709" s="3"/>
      <c r="DM709" s="3"/>
    </row>
    <row r="710" ht="11.25" customHeight="1">
      <c r="A710" s="3"/>
      <c r="B710" s="2"/>
      <c r="C710" s="3"/>
      <c r="D710" s="3"/>
      <c r="E710" s="3"/>
      <c r="F710" s="4"/>
      <c r="G710" s="4"/>
      <c r="H710" s="4"/>
      <c r="I710" s="5"/>
      <c r="J710" s="4"/>
      <c r="K710" s="4"/>
      <c r="L710" s="6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3"/>
      <c r="AL710" s="3"/>
      <c r="AM710" s="3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8"/>
      <c r="BU710" s="8"/>
      <c r="BV710" s="8"/>
      <c r="BW710" s="8"/>
      <c r="BX710" s="3"/>
      <c r="BY710" s="3"/>
      <c r="BZ710" s="3"/>
      <c r="CA710" s="8"/>
      <c r="CB710" s="8"/>
      <c r="CC710" s="8"/>
      <c r="CD710" s="8"/>
      <c r="CE710" s="8"/>
      <c r="CF710" s="8"/>
      <c r="CG710" s="9"/>
      <c r="CH710" s="8"/>
      <c r="CI710" s="8"/>
      <c r="CJ710" s="8"/>
      <c r="CK710" s="8"/>
      <c r="CL710" s="8"/>
      <c r="CM710" s="8"/>
      <c r="CN710" s="8"/>
      <c r="CO710" s="8"/>
      <c r="CP710" s="8"/>
      <c r="CQ710" s="9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8"/>
      <c r="DE710" s="8"/>
      <c r="DF710" s="9"/>
      <c r="DG710" s="9"/>
      <c r="DH710" s="10"/>
      <c r="DI710" s="9"/>
      <c r="DJ710" s="9"/>
      <c r="DK710" s="3"/>
      <c r="DL710" s="3"/>
      <c r="DM710" s="3"/>
    </row>
    <row r="711" ht="11.25" customHeight="1">
      <c r="A711" s="3"/>
      <c r="B711" s="2"/>
      <c r="C711" s="3"/>
      <c r="D711" s="3"/>
      <c r="E711" s="3"/>
      <c r="F711" s="4"/>
      <c r="G711" s="4"/>
      <c r="H711" s="4"/>
      <c r="I711" s="5"/>
      <c r="J711" s="4"/>
      <c r="K711" s="4"/>
      <c r="L711" s="6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3"/>
      <c r="AL711" s="3"/>
      <c r="AM711" s="3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8"/>
      <c r="BU711" s="8"/>
      <c r="BV711" s="8"/>
      <c r="BW711" s="8"/>
      <c r="BX711" s="3"/>
      <c r="BY711" s="3"/>
      <c r="BZ711" s="3"/>
      <c r="CA711" s="8"/>
      <c r="CB711" s="8"/>
      <c r="CC711" s="8"/>
      <c r="CD711" s="8"/>
      <c r="CE711" s="8"/>
      <c r="CF711" s="8"/>
      <c r="CG711" s="9"/>
      <c r="CH711" s="8"/>
      <c r="CI711" s="8"/>
      <c r="CJ711" s="8"/>
      <c r="CK711" s="8"/>
      <c r="CL711" s="8"/>
      <c r="CM711" s="8"/>
      <c r="CN711" s="8"/>
      <c r="CO711" s="8"/>
      <c r="CP711" s="8"/>
      <c r="CQ711" s="9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8"/>
      <c r="DE711" s="8"/>
      <c r="DF711" s="9"/>
      <c r="DG711" s="9"/>
      <c r="DH711" s="10"/>
      <c r="DI711" s="9"/>
      <c r="DJ711" s="9"/>
      <c r="DK711" s="3"/>
      <c r="DL711" s="3"/>
      <c r="DM711" s="3"/>
    </row>
    <row r="712" ht="11.25" customHeight="1">
      <c r="A712" s="3"/>
      <c r="B712" s="2"/>
      <c r="C712" s="3"/>
      <c r="D712" s="3"/>
      <c r="E712" s="3"/>
      <c r="F712" s="4"/>
      <c r="G712" s="4"/>
      <c r="H712" s="4"/>
      <c r="I712" s="5"/>
      <c r="J712" s="4"/>
      <c r="K712" s="4"/>
      <c r="L712" s="6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3"/>
      <c r="AL712" s="3"/>
      <c r="AM712" s="3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8"/>
      <c r="BU712" s="8"/>
      <c r="BV712" s="8"/>
      <c r="BW712" s="8"/>
      <c r="BX712" s="3"/>
      <c r="BY712" s="3"/>
      <c r="BZ712" s="3"/>
      <c r="CA712" s="8"/>
      <c r="CB712" s="8"/>
      <c r="CC712" s="8"/>
      <c r="CD712" s="8"/>
      <c r="CE712" s="8"/>
      <c r="CF712" s="8"/>
      <c r="CG712" s="9"/>
      <c r="CH712" s="8"/>
      <c r="CI712" s="8"/>
      <c r="CJ712" s="8"/>
      <c r="CK712" s="8"/>
      <c r="CL712" s="8"/>
      <c r="CM712" s="8"/>
      <c r="CN712" s="8"/>
      <c r="CO712" s="8"/>
      <c r="CP712" s="8"/>
      <c r="CQ712" s="9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8"/>
      <c r="DC712" s="8"/>
      <c r="DD712" s="8"/>
      <c r="DE712" s="8"/>
      <c r="DF712" s="9"/>
      <c r="DG712" s="9"/>
      <c r="DH712" s="10"/>
      <c r="DI712" s="9"/>
      <c r="DJ712" s="9"/>
      <c r="DK712" s="3"/>
      <c r="DL712" s="3"/>
      <c r="DM712" s="3"/>
    </row>
    <row r="713" ht="11.25" customHeight="1">
      <c r="A713" s="3"/>
      <c r="B713" s="2"/>
      <c r="C713" s="3"/>
      <c r="D713" s="3"/>
      <c r="E713" s="3"/>
      <c r="F713" s="4"/>
      <c r="G713" s="4"/>
      <c r="H713" s="4"/>
      <c r="I713" s="5"/>
      <c r="J713" s="4"/>
      <c r="K713" s="4"/>
      <c r="L713" s="6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3"/>
      <c r="AL713" s="3"/>
      <c r="AM713" s="3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8"/>
      <c r="BU713" s="8"/>
      <c r="BV713" s="8"/>
      <c r="BW713" s="8"/>
      <c r="BX713" s="3"/>
      <c r="BY713" s="3"/>
      <c r="BZ713" s="3"/>
      <c r="CA713" s="8"/>
      <c r="CB713" s="8"/>
      <c r="CC713" s="8"/>
      <c r="CD713" s="8"/>
      <c r="CE713" s="8"/>
      <c r="CF713" s="8"/>
      <c r="CG713" s="9"/>
      <c r="CH713" s="8"/>
      <c r="CI713" s="8"/>
      <c r="CJ713" s="8"/>
      <c r="CK713" s="8"/>
      <c r="CL713" s="8"/>
      <c r="CM713" s="8"/>
      <c r="CN713" s="8"/>
      <c r="CO713" s="8"/>
      <c r="CP713" s="8"/>
      <c r="CQ713" s="9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8"/>
      <c r="DC713" s="8"/>
      <c r="DD713" s="8"/>
      <c r="DE713" s="8"/>
      <c r="DF713" s="9"/>
      <c r="DG713" s="9"/>
      <c r="DH713" s="10"/>
      <c r="DI713" s="9"/>
      <c r="DJ713" s="9"/>
      <c r="DK713" s="3"/>
      <c r="DL713" s="3"/>
      <c r="DM713" s="3"/>
    </row>
    <row r="714" ht="11.25" customHeight="1">
      <c r="A714" s="3"/>
      <c r="B714" s="2"/>
      <c r="C714" s="3"/>
      <c r="D714" s="3"/>
      <c r="E714" s="3"/>
      <c r="F714" s="4"/>
      <c r="G714" s="4"/>
      <c r="H714" s="4"/>
      <c r="I714" s="5"/>
      <c r="J714" s="4"/>
      <c r="K714" s="4"/>
      <c r="L714" s="6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3"/>
      <c r="AL714" s="3"/>
      <c r="AM714" s="3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8"/>
      <c r="BU714" s="8"/>
      <c r="BV714" s="8"/>
      <c r="BW714" s="8"/>
      <c r="BX714" s="3"/>
      <c r="BY714" s="3"/>
      <c r="BZ714" s="3"/>
      <c r="CA714" s="8"/>
      <c r="CB714" s="8"/>
      <c r="CC714" s="8"/>
      <c r="CD714" s="8"/>
      <c r="CE714" s="8"/>
      <c r="CF714" s="8"/>
      <c r="CG714" s="9"/>
      <c r="CH714" s="8"/>
      <c r="CI714" s="8"/>
      <c r="CJ714" s="8"/>
      <c r="CK714" s="8"/>
      <c r="CL714" s="8"/>
      <c r="CM714" s="8"/>
      <c r="CN714" s="8"/>
      <c r="CO714" s="8"/>
      <c r="CP714" s="8"/>
      <c r="CQ714" s="9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8"/>
      <c r="DC714" s="8"/>
      <c r="DD714" s="8"/>
      <c r="DE714" s="8"/>
      <c r="DF714" s="9"/>
      <c r="DG714" s="9"/>
      <c r="DH714" s="10"/>
      <c r="DI714" s="9"/>
      <c r="DJ714" s="9"/>
      <c r="DK714" s="3"/>
      <c r="DL714" s="3"/>
      <c r="DM714" s="3"/>
    </row>
    <row r="715" ht="11.25" customHeight="1">
      <c r="A715" s="3"/>
      <c r="B715" s="2"/>
      <c r="C715" s="3"/>
      <c r="D715" s="3"/>
      <c r="E715" s="3"/>
      <c r="F715" s="4"/>
      <c r="G715" s="4"/>
      <c r="H715" s="4"/>
      <c r="I715" s="5"/>
      <c r="J715" s="4"/>
      <c r="K715" s="4"/>
      <c r="L715" s="6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3"/>
      <c r="AL715" s="3"/>
      <c r="AM715" s="3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8"/>
      <c r="BU715" s="8"/>
      <c r="BV715" s="8"/>
      <c r="BW715" s="8"/>
      <c r="BX715" s="3"/>
      <c r="BY715" s="3"/>
      <c r="BZ715" s="3"/>
      <c r="CA715" s="8"/>
      <c r="CB715" s="8"/>
      <c r="CC715" s="8"/>
      <c r="CD715" s="8"/>
      <c r="CE715" s="8"/>
      <c r="CF715" s="8"/>
      <c r="CG715" s="9"/>
      <c r="CH715" s="8"/>
      <c r="CI715" s="8"/>
      <c r="CJ715" s="8"/>
      <c r="CK715" s="8"/>
      <c r="CL715" s="8"/>
      <c r="CM715" s="8"/>
      <c r="CN715" s="8"/>
      <c r="CO715" s="8"/>
      <c r="CP715" s="8"/>
      <c r="CQ715" s="9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8"/>
      <c r="DE715" s="8"/>
      <c r="DF715" s="9"/>
      <c r="DG715" s="9"/>
      <c r="DH715" s="10"/>
      <c r="DI715" s="9"/>
      <c r="DJ715" s="9"/>
      <c r="DK715" s="3"/>
      <c r="DL715" s="3"/>
      <c r="DM715" s="3"/>
    </row>
    <row r="716" ht="11.25" customHeight="1">
      <c r="A716" s="3"/>
      <c r="B716" s="2"/>
      <c r="C716" s="3"/>
      <c r="D716" s="3"/>
      <c r="E716" s="3"/>
      <c r="F716" s="4"/>
      <c r="G716" s="4"/>
      <c r="H716" s="4"/>
      <c r="I716" s="5"/>
      <c r="J716" s="4"/>
      <c r="K716" s="4"/>
      <c r="L716" s="6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3"/>
      <c r="AL716" s="3"/>
      <c r="AM716" s="3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8"/>
      <c r="BU716" s="8"/>
      <c r="BV716" s="8"/>
      <c r="BW716" s="8"/>
      <c r="BX716" s="3"/>
      <c r="BY716" s="3"/>
      <c r="BZ716" s="3"/>
      <c r="CA716" s="8"/>
      <c r="CB716" s="8"/>
      <c r="CC716" s="8"/>
      <c r="CD716" s="8"/>
      <c r="CE716" s="8"/>
      <c r="CF716" s="8"/>
      <c r="CG716" s="9"/>
      <c r="CH716" s="8"/>
      <c r="CI716" s="8"/>
      <c r="CJ716" s="8"/>
      <c r="CK716" s="8"/>
      <c r="CL716" s="8"/>
      <c r="CM716" s="8"/>
      <c r="CN716" s="8"/>
      <c r="CO716" s="8"/>
      <c r="CP716" s="8"/>
      <c r="CQ716" s="9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8"/>
      <c r="DE716" s="8"/>
      <c r="DF716" s="9"/>
      <c r="DG716" s="9"/>
      <c r="DH716" s="10"/>
      <c r="DI716" s="9"/>
      <c r="DJ716" s="9"/>
      <c r="DK716" s="3"/>
      <c r="DL716" s="3"/>
      <c r="DM716" s="3"/>
    </row>
    <row r="717" ht="11.25" customHeight="1">
      <c r="A717" s="3"/>
      <c r="B717" s="2"/>
      <c r="C717" s="3"/>
      <c r="D717" s="3"/>
      <c r="E717" s="3"/>
      <c r="F717" s="4"/>
      <c r="G717" s="4"/>
      <c r="H717" s="4"/>
      <c r="I717" s="5"/>
      <c r="J717" s="4"/>
      <c r="K717" s="4"/>
      <c r="L717" s="6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3"/>
      <c r="AL717" s="3"/>
      <c r="AM717" s="3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8"/>
      <c r="BU717" s="8"/>
      <c r="BV717" s="8"/>
      <c r="BW717" s="8"/>
      <c r="BX717" s="3"/>
      <c r="BY717" s="3"/>
      <c r="BZ717" s="3"/>
      <c r="CA717" s="8"/>
      <c r="CB717" s="8"/>
      <c r="CC717" s="8"/>
      <c r="CD717" s="8"/>
      <c r="CE717" s="8"/>
      <c r="CF717" s="8"/>
      <c r="CG717" s="9"/>
      <c r="CH717" s="8"/>
      <c r="CI717" s="8"/>
      <c r="CJ717" s="8"/>
      <c r="CK717" s="8"/>
      <c r="CL717" s="8"/>
      <c r="CM717" s="8"/>
      <c r="CN717" s="8"/>
      <c r="CO717" s="8"/>
      <c r="CP717" s="8"/>
      <c r="CQ717" s="9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8"/>
      <c r="DE717" s="8"/>
      <c r="DF717" s="9"/>
      <c r="DG717" s="9"/>
      <c r="DH717" s="10"/>
      <c r="DI717" s="9"/>
      <c r="DJ717" s="9"/>
      <c r="DK717" s="3"/>
      <c r="DL717" s="3"/>
      <c r="DM717" s="3"/>
    </row>
    <row r="718" ht="11.25" customHeight="1">
      <c r="A718" s="3"/>
      <c r="B718" s="2"/>
      <c r="C718" s="3"/>
      <c r="D718" s="3"/>
      <c r="E718" s="3"/>
      <c r="F718" s="4"/>
      <c r="G718" s="4"/>
      <c r="H718" s="4"/>
      <c r="I718" s="5"/>
      <c r="J718" s="4"/>
      <c r="K718" s="4"/>
      <c r="L718" s="6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3"/>
      <c r="AL718" s="3"/>
      <c r="AM718" s="3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8"/>
      <c r="BU718" s="8"/>
      <c r="BV718" s="8"/>
      <c r="BW718" s="8"/>
      <c r="BX718" s="3"/>
      <c r="BY718" s="3"/>
      <c r="BZ718" s="3"/>
      <c r="CA718" s="8"/>
      <c r="CB718" s="8"/>
      <c r="CC718" s="8"/>
      <c r="CD718" s="8"/>
      <c r="CE718" s="8"/>
      <c r="CF718" s="8"/>
      <c r="CG718" s="9"/>
      <c r="CH718" s="8"/>
      <c r="CI718" s="8"/>
      <c r="CJ718" s="8"/>
      <c r="CK718" s="8"/>
      <c r="CL718" s="8"/>
      <c r="CM718" s="8"/>
      <c r="CN718" s="8"/>
      <c r="CO718" s="8"/>
      <c r="CP718" s="8"/>
      <c r="CQ718" s="9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8"/>
      <c r="DE718" s="8"/>
      <c r="DF718" s="9"/>
      <c r="DG718" s="9"/>
      <c r="DH718" s="10"/>
      <c r="DI718" s="9"/>
      <c r="DJ718" s="9"/>
      <c r="DK718" s="3"/>
      <c r="DL718" s="3"/>
      <c r="DM718" s="3"/>
    </row>
    <row r="719" ht="11.25" customHeight="1">
      <c r="A719" s="3"/>
      <c r="B719" s="2"/>
      <c r="C719" s="3"/>
      <c r="D719" s="3"/>
      <c r="E719" s="3"/>
      <c r="F719" s="4"/>
      <c r="G719" s="4"/>
      <c r="H719" s="4"/>
      <c r="I719" s="5"/>
      <c r="J719" s="4"/>
      <c r="K719" s="4"/>
      <c r="L719" s="6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3"/>
      <c r="AL719" s="3"/>
      <c r="AM719" s="3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8"/>
      <c r="BU719" s="8"/>
      <c r="BV719" s="8"/>
      <c r="BW719" s="8"/>
      <c r="BX719" s="3"/>
      <c r="BY719" s="3"/>
      <c r="BZ719" s="3"/>
      <c r="CA719" s="8"/>
      <c r="CB719" s="8"/>
      <c r="CC719" s="8"/>
      <c r="CD719" s="8"/>
      <c r="CE719" s="8"/>
      <c r="CF719" s="8"/>
      <c r="CG719" s="9"/>
      <c r="CH719" s="8"/>
      <c r="CI719" s="8"/>
      <c r="CJ719" s="8"/>
      <c r="CK719" s="8"/>
      <c r="CL719" s="8"/>
      <c r="CM719" s="8"/>
      <c r="CN719" s="8"/>
      <c r="CO719" s="8"/>
      <c r="CP719" s="8"/>
      <c r="CQ719" s="9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8"/>
      <c r="DE719" s="8"/>
      <c r="DF719" s="9"/>
      <c r="DG719" s="9"/>
      <c r="DH719" s="10"/>
      <c r="DI719" s="9"/>
      <c r="DJ719" s="9"/>
      <c r="DK719" s="3"/>
      <c r="DL719" s="3"/>
      <c r="DM719" s="3"/>
    </row>
    <row r="720" ht="11.25" customHeight="1">
      <c r="A720" s="3"/>
      <c r="B720" s="2"/>
      <c r="C720" s="3"/>
      <c r="D720" s="3"/>
      <c r="E720" s="3"/>
      <c r="F720" s="4"/>
      <c r="G720" s="4"/>
      <c r="H720" s="4"/>
      <c r="I720" s="5"/>
      <c r="J720" s="4"/>
      <c r="K720" s="4"/>
      <c r="L720" s="6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3"/>
      <c r="AL720" s="3"/>
      <c r="AM720" s="3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8"/>
      <c r="BU720" s="8"/>
      <c r="BV720" s="8"/>
      <c r="BW720" s="8"/>
      <c r="BX720" s="3"/>
      <c r="BY720" s="3"/>
      <c r="BZ720" s="3"/>
      <c r="CA720" s="8"/>
      <c r="CB720" s="8"/>
      <c r="CC720" s="8"/>
      <c r="CD720" s="8"/>
      <c r="CE720" s="8"/>
      <c r="CF720" s="8"/>
      <c r="CG720" s="9"/>
      <c r="CH720" s="8"/>
      <c r="CI720" s="8"/>
      <c r="CJ720" s="8"/>
      <c r="CK720" s="8"/>
      <c r="CL720" s="8"/>
      <c r="CM720" s="8"/>
      <c r="CN720" s="8"/>
      <c r="CO720" s="8"/>
      <c r="CP720" s="8"/>
      <c r="CQ720" s="9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8"/>
      <c r="DE720" s="8"/>
      <c r="DF720" s="9"/>
      <c r="DG720" s="9"/>
      <c r="DH720" s="10"/>
      <c r="DI720" s="9"/>
      <c r="DJ720" s="9"/>
      <c r="DK720" s="3"/>
      <c r="DL720" s="3"/>
      <c r="DM720" s="3"/>
    </row>
    <row r="721" ht="11.25" customHeight="1">
      <c r="A721" s="3"/>
      <c r="B721" s="2"/>
      <c r="C721" s="3"/>
      <c r="D721" s="3"/>
      <c r="E721" s="3"/>
      <c r="F721" s="4"/>
      <c r="G721" s="4"/>
      <c r="H721" s="4"/>
      <c r="I721" s="5"/>
      <c r="J721" s="4"/>
      <c r="K721" s="4"/>
      <c r="L721" s="6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3"/>
      <c r="AL721" s="3"/>
      <c r="AM721" s="3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8"/>
      <c r="BU721" s="8"/>
      <c r="BV721" s="8"/>
      <c r="BW721" s="8"/>
      <c r="BX721" s="3"/>
      <c r="BY721" s="3"/>
      <c r="BZ721" s="3"/>
      <c r="CA721" s="8"/>
      <c r="CB721" s="8"/>
      <c r="CC721" s="8"/>
      <c r="CD721" s="8"/>
      <c r="CE721" s="8"/>
      <c r="CF721" s="8"/>
      <c r="CG721" s="9"/>
      <c r="CH721" s="8"/>
      <c r="CI721" s="8"/>
      <c r="CJ721" s="8"/>
      <c r="CK721" s="8"/>
      <c r="CL721" s="8"/>
      <c r="CM721" s="8"/>
      <c r="CN721" s="8"/>
      <c r="CO721" s="8"/>
      <c r="CP721" s="8"/>
      <c r="CQ721" s="9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8"/>
      <c r="DE721" s="8"/>
      <c r="DF721" s="9"/>
      <c r="DG721" s="9"/>
      <c r="DH721" s="10"/>
      <c r="DI721" s="9"/>
      <c r="DJ721" s="9"/>
      <c r="DK721" s="3"/>
      <c r="DL721" s="3"/>
      <c r="DM721" s="3"/>
    </row>
    <row r="722" ht="11.25" customHeight="1">
      <c r="A722" s="3"/>
      <c r="B722" s="2"/>
      <c r="C722" s="3"/>
      <c r="D722" s="3"/>
      <c r="E722" s="3"/>
      <c r="F722" s="4"/>
      <c r="G722" s="4"/>
      <c r="H722" s="4"/>
      <c r="I722" s="5"/>
      <c r="J722" s="4"/>
      <c r="K722" s="4"/>
      <c r="L722" s="6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3"/>
      <c r="AL722" s="3"/>
      <c r="AM722" s="3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8"/>
      <c r="BU722" s="8"/>
      <c r="BV722" s="8"/>
      <c r="BW722" s="8"/>
      <c r="BX722" s="3"/>
      <c r="BY722" s="3"/>
      <c r="BZ722" s="3"/>
      <c r="CA722" s="8"/>
      <c r="CB722" s="8"/>
      <c r="CC722" s="8"/>
      <c r="CD722" s="8"/>
      <c r="CE722" s="8"/>
      <c r="CF722" s="8"/>
      <c r="CG722" s="9"/>
      <c r="CH722" s="8"/>
      <c r="CI722" s="8"/>
      <c r="CJ722" s="8"/>
      <c r="CK722" s="8"/>
      <c r="CL722" s="8"/>
      <c r="CM722" s="8"/>
      <c r="CN722" s="8"/>
      <c r="CO722" s="8"/>
      <c r="CP722" s="8"/>
      <c r="CQ722" s="9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8"/>
      <c r="DE722" s="8"/>
      <c r="DF722" s="9"/>
      <c r="DG722" s="9"/>
      <c r="DH722" s="10"/>
      <c r="DI722" s="9"/>
      <c r="DJ722" s="9"/>
      <c r="DK722" s="3"/>
      <c r="DL722" s="3"/>
      <c r="DM722" s="3"/>
    </row>
    <row r="723" ht="11.25" customHeight="1">
      <c r="A723" s="3"/>
      <c r="B723" s="2"/>
      <c r="C723" s="3"/>
      <c r="D723" s="3"/>
      <c r="E723" s="3"/>
      <c r="F723" s="4"/>
      <c r="G723" s="4"/>
      <c r="H723" s="4"/>
      <c r="I723" s="5"/>
      <c r="J723" s="4"/>
      <c r="K723" s="4"/>
      <c r="L723" s="6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3"/>
      <c r="AL723" s="3"/>
      <c r="AM723" s="3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8"/>
      <c r="BU723" s="8"/>
      <c r="BV723" s="8"/>
      <c r="BW723" s="8"/>
      <c r="BX723" s="3"/>
      <c r="BY723" s="3"/>
      <c r="BZ723" s="3"/>
      <c r="CA723" s="8"/>
      <c r="CB723" s="8"/>
      <c r="CC723" s="8"/>
      <c r="CD723" s="8"/>
      <c r="CE723" s="8"/>
      <c r="CF723" s="8"/>
      <c r="CG723" s="9"/>
      <c r="CH723" s="8"/>
      <c r="CI723" s="8"/>
      <c r="CJ723" s="8"/>
      <c r="CK723" s="8"/>
      <c r="CL723" s="8"/>
      <c r="CM723" s="8"/>
      <c r="CN723" s="8"/>
      <c r="CO723" s="8"/>
      <c r="CP723" s="8"/>
      <c r="CQ723" s="9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9"/>
      <c r="DG723" s="9"/>
      <c r="DH723" s="10"/>
      <c r="DI723" s="9"/>
      <c r="DJ723" s="9"/>
      <c r="DK723" s="3"/>
      <c r="DL723" s="3"/>
      <c r="DM723" s="3"/>
    </row>
    <row r="724" ht="11.25" customHeight="1">
      <c r="A724" s="3"/>
      <c r="B724" s="2"/>
      <c r="C724" s="3"/>
      <c r="D724" s="3"/>
      <c r="E724" s="3"/>
      <c r="F724" s="4"/>
      <c r="G724" s="4"/>
      <c r="H724" s="4"/>
      <c r="I724" s="5"/>
      <c r="J724" s="4"/>
      <c r="K724" s="4"/>
      <c r="L724" s="6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3"/>
      <c r="AL724" s="3"/>
      <c r="AM724" s="3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8"/>
      <c r="BU724" s="8"/>
      <c r="BV724" s="8"/>
      <c r="BW724" s="8"/>
      <c r="BX724" s="3"/>
      <c r="BY724" s="3"/>
      <c r="BZ724" s="3"/>
      <c r="CA724" s="8"/>
      <c r="CB724" s="8"/>
      <c r="CC724" s="8"/>
      <c r="CD724" s="8"/>
      <c r="CE724" s="8"/>
      <c r="CF724" s="8"/>
      <c r="CG724" s="9"/>
      <c r="CH724" s="8"/>
      <c r="CI724" s="8"/>
      <c r="CJ724" s="8"/>
      <c r="CK724" s="8"/>
      <c r="CL724" s="8"/>
      <c r="CM724" s="8"/>
      <c r="CN724" s="8"/>
      <c r="CO724" s="8"/>
      <c r="CP724" s="8"/>
      <c r="CQ724" s="9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9"/>
      <c r="DG724" s="9"/>
      <c r="DH724" s="10"/>
      <c r="DI724" s="9"/>
      <c r="DJ724" s="9"/>
      <c r="DK724" s="3"/>
      <c r="DL724" s="3"/>
      <c r="DM724" s="3"/>
    </row>
    <row r="725" ht="11.25" customHeight="1">
      <c r="A725" s="3"/>
      <c r="B725" s="2"/>
      <c r="C725" s="3"/>
      <c r="D725" s="3"/>
      <c r="E725" s="3"/>
      <c r="F725" s="4"/>
      <c r="G725" s="4"/>
      <c r="H725" s="4"/>
      <c r="I725" s="5"/>
      <c r="J725" s="4"/>
      <c r="K725" s="4"/>
      <c r="L725" s="6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3"/>
      <c r="AL725" s="3"/>
      <c r="AM725" s="3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8"/>
      <c r="BU725" s="8"/>
      <c r="BV725" s="8"/>
      <c r="BW725" s="8"/>
      <c r="BX725" s="3"/>
      <c r="BY725" s="3"/>
      <c r="BZ725" s="3"/>
      <c r="CA725" s="8"/>
      <c r="CB725" s="8"/>
      <c r="CC725" s="8"/>
      <c r="CD725" s="8"/>
      <c r="CE725" s="8"/>
      <c r="CF725" s="8"/>
      <c r="CG725" s="9"/>
      <c r="CH725" s="8"/>
      <c r="CI725" s="8"/>
      <c r="CJ725" s="8"/>
      <c r="CK725" s="8"/>
      <c r="CL725" s="8"/>
      <c r="CM725" s="8"/>
      <c r="CN725" s="8"/>
      <c r="CO725" s="8"/>
      <c r="CP725" s="8"/>
      <c r="CQ725" s="9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8"/>
      <c r="DE725" s="8"/>
      <c r="DF725" s="9"/>
      <c r="DG725" s="9"/>
      <c r="DH725" s="10"/>
      <c r="DI725" s="9"/>
      <c r="DJ725" s="9"/>
      <c r="DK725" s="3"/>
      <c r="DL725" s="3"/>
      <c r="DM725" s="3"/>
    </row>
    <row r="726" ht="11.25" customHeight="1">
      <c r="A726" s="3"/>
      <c r="B726" s="2"/>
      <c r="C726" s="3"/>
      <c r="D726" s="3"/>
      <c r="E726" s="3"/>
      <c r="F726" s="4"/>
      <c r="G726" s="4"/>
      <c r="H726" s="4"/>
      <c r="I726" s="5"/>
      <c r="J726" s="4"/>
      <c r="K726" s="4"/>
      <c r="L726" s="6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3"/>
      <c r="AL726" s="3"/>
      <c r="AM726" s="3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8"/>
      <c r="BU726" s="8"/>
      <c r="BV726" s="8"/>
      <c r="BW726" s="8"/>
      <c r="BX726" s="3"/>
      <c r="BY726" s="3"/>
      <c r="BZ726" s="3"/>
      <c r="CA726" s="8"/>
      <c r="CB726" s="8"/>
      <c r="CC726" s="8"/>
      <c r="CD726" s="8"/>
      <c r="CE726" s="8"/>
      <c r="CF726" s="8"/>
      <c r="CG726" s="9"/>
      <c r="CH726" s="8"/>
      <c r="CI726" s="8"/>
      <c r="CJ726" s="8"/>
      <c r="CK726" s="8"/>
      <c r="CL726" s="8"/>
      <c r="CM726" s="8"/>
      <c r="CN726" s="8"/>
      <c r="CO726" s="8"/>
      <c r="CP726" s="8"/>
      <c r="CQ726" s="9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8"/>
      <c r="DE726" s="8"/>
      <c r="DF726" s="9"/>
      <c r="DG726" s="9"/>
      <c r="DH726" s="10"/>
      <c r="DI726" s="9"/>
      <c r="DJ726" s="9"/>
      <c r="DK726" s="3"/>
      <c r="DL726" s="3"/>
      <c r="DM726" s="3"/>
    </row>
    <row r="727" ht="11.25" customHeight="1">
      <c r="A727" s="3"/>
      <c r="B727" s="2"/>
      <c r="C727" s="3"/>
      <c r="D727" s="3"/>
      <c r="E727" s="3"/>
      <c r="F727" s="4"/>
      <c r="G727" s="4"/>
      <c r="H727" s="4"/>
      <c r="I727" s="5"/>
      <c r="J727" s="4"/>
      <c r="K727" s="4"/>
      <c r="L727" s="6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3"/>
      <c r="AL727" s="3"/>
      <c r="AM727" s="3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8"/>
      <c r="BU727" s="8"/>
      <c r="BV727" s="8"/>
      <c r="BW727" s="8"/>
      <c r="BX727" s="3"/>
      <c r="BY727" s="3"/>
      <c r="BZ727" s="3"/>
      <c r="CA727" s="8"/>
      <c r="CB727" s="8"/>
      <c r="CC727" s="8"/>
      <c r="CD727" s="8"/>
      <c r="CE727" s="8"/>
      <c r="CF727" s="8"/>
      <c r="CG727" s="9"/>
      <c r="CH727" s="8"/>
      <c r="CI727" s="8"/>
      <c r="CJ727" s="8"/>
      <c r="CK727" s="8"/>
      <c r="CL727" s="8"/>
      <c r="CM727" s="8"/>
      <c r="CN727" s="8"/>
      <c r="CO727" s="8"/>
      <c r="CP727" s="8"/>
      <c r="CQ727" s="9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8"/>
      <c r="DE727" s="8"/>
      <c r="DF727" s="9"/>
      <c r="DG727" s="9"/>
      <c r="DH727" s="10"/>
      <c r="DI727" s="9"/>
      <c r="DJ727" s="9"/>
      <c r="DK727" s="3"/>
      <c r="DL727" s="3"/>
      <c r="DM727" s="3"/>
    </row>
    <row r="728" ht="11.25" customHeight="1">
      <c r="A728" s="3"/>
      <c r="B728" s="2"/>
      <c r="C728" s="3"/>
      <c r="D728" s="3"/>
      <c r="E728" s="3"/>
      <c r="F728" s="4"/>
      <c r="G728" s="4"/>
      <c r="H728" s="4"/>
      <c r="I728" s="5"/>
      <c r="J728" s="4"/>
      <c r="K728" s="4"/>
      <c r="L728" s="6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3"/>
      <c r="AL728" s="3"/>
      <c r="AM728" s="3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8"/>
      <c r="BU728" s="8"/>
      <c r="BV728" s="8"/>
      <c r="BW728" s="8"/>
      <c r="BX728" s="3"/>
      <c r="BY728" s="3"/>
      <c r="BZ728" s="3"/>
      <c r="CA728" s="8"/>
      <c r="CB728" s="8"/>
      <c r="CC728" s="8"/>
      <c r="CD728" s="8"/>
      <c r="CE728" s="8"/>
      <c r="CF728" s="8"/>
      <c r="CG728" s="9"/>
      <c r="CH728" s="8"/>
      <c r="CI728" s="8"/>
      <c r="CJ728" s="8"/>
      <c r="CK728" s="8"/>
      <c r="CL728" s="8"/>
      <c r="CM728" s="8"/>
      <c r="CN728" s="8"/>
      <c r="CO728" s="8"/>
      <c r="CP728" s="8"/>
      <c r="CQ728" s="9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8"/>
      <c r="DE728" s="8"/>
      <c r="DF728" s="9"/>
      <c r="DG728" s="9"/>
      <c r="DH728" s="10"/>
      <c r="DI728" s="9"/>
      <c r="DJ728" s="9"/>
      <c r="DK728" s="3"/>
      <c r="DL728" s="3"/>
      <c r="DM728" s="3"/>
    </row>
    <row r="729" ht="11.25" customHeight="1">
      <c r="A729" s="3"/>
      <c r="B729" s="2"/>
      <c r="C729" s="3"/>
      <c r="D729" s="3"/>
      <c r="E729" s="3"/>
      <c r="F729" s="4"/>
      <c r="G729" s="4"/>
      <c r="H729" s="4"/>
      <c r="I729" s="5"/>
      <c r="J729" s="4"/>
      <c r="K729" s="4"/>
      <c r="L729" s="6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3"/>
      <c r="AL729" s="3"/>
      <c r="AM729" s="3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8"/>
      <c r="BU729" s="8"/>
      <c r="BV729" s="8"/>
      <c r="BW729" s="8"/>
      <c r="BX729" s="3"/>
      <c r="BY729" s="3"/>
      <c r="BZ729" s="3"/>
      <c r="CA729" s="8"/>
      <c r="CB729" s="8"/>
      <c r="CC729" s="8"/>
      <c r="CD729" s="8"/>
      <c r="CE729" s="8"/>
      <c r="CF729" s="8"/>
      <c r="CG729" s="9"/>
      <c r="CH729" s="8"/>
      <c r="CI729" s="8"/>
      <c r="CJ729" s="8"/>
      <c r="CK729" s="8"/>
      <c r="CL729" s="8"/>
      <c r="CM729" s="8"/>
      <c r="CN729" s="8"/>
      <c r="CO729" s="8"/>
      <c r="CP729" s="8"/>
      <c r="CQ729" s="9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8"/>
      <c r="DC729" s="8"/>
      <c r="DD729" s="8"/>
      <c r="DE729" s="8"/>
      <c r="DF729" s="9"/>
      <c r="DG729" s="9"/>
      <c r="DH729" s="10"/>
      <c r="DI729" s="9"/>
      <c r="DJ729" s="9"/>
      <c r="DK729" s="3"/>
      <c r="DL729" s="3"/>
      <c r="DM729" s="3"/>
    </row>
    <row r="730" ht="11.25" customHeight="1">
      <c r="A730" s="3"/>
      <c r="B730" s="2"/>
      <c r="C730" s="3"/>
      <c r="D730" s="3"/>
      <c r="E730" s="3"/>
      <c r="F730" s="4"/>
      <c r="G730" s="4"/>
      <c r="H730" s="4"/>
      <c r="I730" s="5"/>
      <c r="J730" s="4"/>
      <c r="K730" s="4"/>
      <c r="L730" s="6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3"/>
      <c r="AL730" s="3"/>
      <c r="AM730" s="3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8"/>
      <c r="BU730" s="8"/>
      <c r="BV730" s="8"/>
      <c r="BW730" s="8"/>
      <c r="BX730" s="3"/>
      <c r="BY730" s="3"/>
      <c r="BZ730" s="3"/>
      <c r="CA730" s="8"/>
      <c r="CB730" s="8"/>
      <c r="CC730" s="8"/>
      <c r="CD730" s="8"/>
      <c r="CE730" s="8"/>
      <c r="CF730" s="8"/>
      <c r="CG730" s="9"/>
      <c r="CH730" s="8"/>
      <c r="CI730" s="8"/>
      <c r="CJ730" s="8"/>
      <c r="CK730" s="8"/>
      <c r="CL730" s="8"/>
      <c r="CM730" s="8"/>
      <c r="CN730" s="8"/>
      <c r="CO730" s="8"/>
      <c r="CP730" s="8"/>
      <c r="CQ730" s="9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8"/>
      <c r="DE730" s="8"/>
      <c r="DF730" s="9"/>
      <c r="DG730" s="9"/>
      <c r="DH730" s="10"/>
      <c r="DI730" s="9"/>
      <c r="DJ730" s="9"/>
      <c r="DK730" s="3"/>
      <c r="DL730" s="3"/>
      <c r="DM730" s="3"/>
    </row>
    <row r="731" ht="11.25" customHeight="1">
      <c r="A731" s="3"/>
      <c r="B731" s="2"/>
      <c r="C731" s="3"/>
      <c r="D731" s="3"/>
      <c r="E731" s="3"/>
      <c r="F731" s="4"/>
      <c r="G731" s="4"/>
      <c r="H731" s="4"/>
      <c r="I731" s="5"/>
      <c r="J731" s="4"/>
      <c r="K731" s="4"/>
      <c r="L731" s="6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3"/>
      <c r="AL731" s="3"/>
      <c r="AM731" s="3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8"/>
      <c r="BU731" s="8"/>
      <c r="BV731" s="8"/>
      <c r="BW731" s="8"/>
      <c r="BX731" s="3"/>
      <c r="BY731" s="3"/>
      <c r="BZ731" s="3"/>
      <c r="CA731" s="8"/>
      <c r="CB731" s="8"/>
      <c r="CC731" s="8"/>
      <c r="CD731" s="8"/>
      <c r="CE731" s="8"/>
      <c r="CF731" s="8"/>
      <c r="CG731" s="9"/>
      <c r="CH731" s="8"/>
      <c r="CI731" s="8"/>
      <c r="CJ731" s="8"/>
      <c r="CK731" s="8"/>
      <c r="CL731" s="8"/>
      <c r="CM731" s="8"/>
      <c r="CN731" s="8"/>
      <c r="CO731" s="8"/>
      <c r="CP731" s="8"/>
      <c r="CQ731" s="9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8"/>
      <c r="DE731" s="8"/>
      <c r="DF731" s="9"/>
      <c r="DG731" s="9"/>
      <c r="DH731" s="10"/>
      <c r="DI731" s="9"/>
      <c r="DJ731" s="9"/>
      <c r="DK731" s="3"/>
      <c r="DL731" s="3"/>
      <c r="DM731" s="3"/>
    </row>
    <row r="732" ht="11.25" customHeight="1">
      <c r="A732" s="3"/>
      <c r="B732" s="2"/>
      <c r="C732" s="3"/>
      <c r="D732" s="3"/>
      <c r="E732" s="3"/>
      <c r="F732" s="4"/>
      <c r="G732" s="4"/>
      <c r="H732" s="4"/>
      <c r="I732" s="5"/>
      <c r="J732" s="4"/>
      <c r="K732" s="4"/>
      <c r="L732" s="6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3"/>
      <c r="AL732" s="3"/>
      <c r="AM732" s="3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8"/>
      <c r="BU732" s="8"/>
      <c r="BV732" s="8"/>
      <c r="BW732" s="8"/>
      <c r="BX732" s="3"/>
      <c r="BY732" s="3"/>
      <c r="BZ732" s="3"/>
      <c r="CA732" s="8"/>
      <c r="CB732" s="8"/>
      <c r="CC732" s="8"/>
      <c r="CD732" s="8"/>
      <c r="CE732" s="8"/>
      <c r="CF732" s="8"/>
      <c r="CG732" s="9"/>
      <c r="CH732" s="8"/>
      <c r="CI732" s="8"/>
      <c r="CJ732" s="8"/>
      <c r="CK732" s="8"/>
      <c r="CL732" s="8"/>
      <c r="CM732" s="8"/>
      <c r="CN732" s="8"/>
      <c r="CO732" s="8"/>
      <c r="CP732" s="8"/>
      <c r="CQ732" s="9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8"/>
      <c r="DC732" s="8"/>
      <c r="DD732" s="8"/>
      <c r="DE732" s="8"/>
      <c r="DF732" s="9"/>
      <c r="DG732" s="9"/>
      <c r="DH732" s="10"/>
      <c r="DI732" s="9"/>
      <c r="DJ732" s="9"/>
      <c r="DK732" s="3"/>
      <c r="DL732" s="3"/>
      <c r="DM732" s="3"/>
    </row>
    <row r="733" ht="11.25" customHeight="1">
      <c r="A733" s="3"/>
      <c r="B733" s="2"/>
      <c r="C733" s="3"/>
      <c r="D733" s="3"/>
      <c r="E733" s="3"/>
      <c r="F733" s="4"/>
      <c r="G733" s="4"/>
      <c r="H733" s="4"/>
      <c r="I733" s="5"/>
      <c r="J733" s="4"/>
      <c r="K733" s="4"/>
      <c r="L733" s="6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3"/>
      <c r="AL733" s="3"/>
      <c r="AM733" s="3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8"/>
      <c r="BU733" s="8"/>
      <c r="BV733" s="8"/>
      <c r="BW733" s="8"/>
      <c r="BX733" s="3"/>
      <c r="BY733" s="3"/>
      <c r="BZ733" s="3"/>
      <c r="CA733" s="8"/>
      <c r="CB733" s="8"/>
      <c r="CC733" s="8"/>
      <c r="CD733" s="8"/>
      <c r="CE733" s="8"/>
      <c r="CF733" s="8"/>
      <c r="CG733" s="9"/>
      <c r="CH733" s="8"/>
      <c r="CI733" s="8"/>
      <c r="CJ733" s="8"/>
      <c r="CK733" s="8"/>
      <c r="CL733" s="8"/>
      <c r="CM733" s="8"/>
      <c r="CN733" s="8"/>
      <c r="CO733" s="8"/>
      <c r="CP733" s="8"/>
      <c r="CQ733" s="9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8"/>
      <c r="DC733" s="8"/>
      <c r="DD733" s="8"/>
      <c r="DE733" s="8"/>
      <c r="DF733" s="9"/>
      <c r="DG733" s="9"/>
      <c r="DH733" s="10"/>
      <c r="DI733" s="9"/>
      <c r="DJ733" s="9"/>
      <c r="DK733" s="3"/>
      <c r="DL733" s="3"/>
      <c r="DM733" s="3"/>
    </row>
    <row r="734" ht="11.25" customHeight="1">
      <c r="A734" s="3"/>
      <c r="B734" s="2"/>
      <c r="C734" s="3"/>
      <c r="D734" s="3"/>
      <c r="E734" s="3"/>
      <c r="F734" s="4"/>
      <c r="G734" s="4"/>
      <c r="H734" s="4"/>
      <c r="I734" s="5"/>
      <c r="J734" s="4"/>
      <c r="K734" s="4"/>
      <c r="L734" s="6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3"/>
      <c r="AL734" s="3"/>
      <c r="AM734" s="3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8"/>
      <c r="BU734" s="8"/>
      <c r="BV734" s="8"/>
      <c r="BW734" s="8"/>
      <c r="BX734" s="3"/>
      <c r="BY734" s="3"/>
      <c r="BZ734" s="3"/>
      <c r="CA734" s="8"/>
      <c r="CB734" s="8"/>
      <c r="CC734" s="8"/>
      <c r="CD734" s="8"/>
      <c r="CE734" s="8"/>
      <c r="CF734" s="8"/>
      <c r="CG734" s="9"/>
      <c r="CH734" s="8"/>
      <c r="CI734" s="8"/>
      <c r="CJ734" s="8"/>
      <c r="CK734" s="8"/>
      <c r="CL734" s="8"/>
      <c r="CM734" s="8"/>
      <c r="CN734" s="8"/>
      <c r="CO734" s="8"/>
      <c r="CP734" s="8"/>
      <c r="CQ734" s="9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8"/>
      <c r="DC734" s="8"/>
      <c r="DD734" s="8"/>
      <c r="DE734" s="8"/>
      <c r="DF734" s="9"/>
      <c r="DG734" s="9"/>
      <c r="DH734" s="10"/>
      <c r="DI734" s="9"/>
      <c r="DJ734" s="9"/>
      <c r="DK734" s="3"/>
      <c r="DL734" s="3"/>
      <c r="DM734" s="3"/>
    </row>
    <row r="735" ht="11.25" customHeight="1">
      <c r="A735" s="3"/>
      <c r="B735" s="2"/>
      <c r="C735" s="3"/>
      <c r="D735" s="3"/>
      <c r="E735" s="3"/>
      <c r="F735" s="4"/>
      <c r="G735" s="4"/>
      <c r="H735" s="4"/>
      <c r="I735" s="5"/>
      <c r="J735" s="4"/>
      <c r="K735" s="4"/>
      <c r="L735" s="6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3"/>
      <c r="AL735" s="3"/>
      <c r="AM735" s="3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8"/>
      <c r="BU735" s="8"/>
      <c r="BV735" s="8"/>
      <c r="BW735" s="8"/>
      <c r="BX735" s="3"/>
      <c r="BY735" s="3"/>
      <c r="BZ735" s="3"/>
      <c r="CA735" s="8"/>
      <c r="CB735" s="8"/>
      <c r="CC735" s="8"/>
      <c r="CD735" s="8"/>
      <c r="CE735" s="8"/>
      <c r="CF735" s="8"/>
      <c r="CG735" s="9"/>
      <c r="CH735" s="8"/>
      <c r="CI735" s="8"/>
      <c r="CJ735" s="8"/>
      <c r="CK735" s="8"/>
      <c r="CL735" s="8"/>
      <c r="CM735" s="8"/>
      <c r="CN735" s="8"/>
      <c r="CO735" s="8"/>
      <c r="CP735" s="8"/>
      <c r="CQ735" s="9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8"/>
      <c r="DC735" s="8"/>
      <c r="DD735" s="8"/>
      <c r="DE735" s="8"/>
      <c r="DF735" s="9"/>
      <c r="DG735" s="9"/>
      <c r="DH735" s="10"/>
      <c r="DI735" s="9"/>
      <c r="DJ735" s="9"/>
      <c r="DK735" s="3"/>
      <c r="DL735" s="3"/>
      <c r="DM735" s="3"/>
    </row>
    <row r="736" ht="11.25" customHeight="1">
      <c r="A736" s="3"/>
      <c r="B736" s="2"/>
      <c r="C736" s="3"/>
      <c r="D736" s="3"/>
      <c r="E736" s="3"/>
      <c r="F736" s="4"/>
      <c r="G736" s="4"/>
      <c r="H736" s="4"/>
      <c r="I736" s="5"/>
      <c r="J736" s="4"/>
      <c r="K736" s="4"/>
      <c r="L736" s="6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3"/>
      <c r="AL736" s="3"/>
      <c r="AM736" s="3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8"/>
      <c r="BU736" s="8"/>
      <c r="BV736" s="8"/>
      <c r="BW736" s="8"/>
      <c r="BX736" s="3"/>
      <c r="BY736" s="3"/>
      <c r="BZ736" s="3"/>
      <c r="CA736" s="8"/>
      <c r="CB736" s="8"/>
      <c r="CC736" s="8"/>
      <c r="CD736" s="8"/>
      <c r="CE736" s="8"/>
      <c r="CF736" s="8"/>
      <c r="CG736" s="9"/>
      <c r="CH736" s="8"/>
      <c r="CI736" s="8"/>
      <c r="CJ736" s="8"/>
      <c r="CK736" s="8"/>
      <c r="CL736" s="8"/>
      <c r="CM736" s="8"/>
      <c r="CN736" s="8"/>
      <c r="CO736" s="8"/>
      <c r="CP736" s="8"/>
      <c r="CQ736" s="9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8"/>
      <c r="DC736" s="8"/>
      <c r="DD736" s="8"/>
      <c r="DE736" s="8"/>
      <c r="DF736" s="9"/>
      <c r="DG736" s="9"/>
      <c r="DH736" s="10"/>
      <c r="DI736" s="9"/>
      <c r="DJ736" s="9"/>
      <c r="DK736" s="3"/>
      <c r="DL736" s="3"/>
      <c r="DM736" s="3"/>
    </row>
    <row r="737" ht="11.25" customHeight="1">
      <c r="A737" s="3"/>
      <c r="B737" s="2"/>
      <c r="C737" s="3"/>
      <c r="D737" s="3"/>
      <c r="E737" s="3"/>
      <c r="F737" s="4"/>
      <c r="G737" s="4"/>
      <c r="H737" s="4"/>
      <c r="I737" s="5"/>
      <c r="J737" s="4"/>
      <c r="K737" s="4"/>
      <c r="L737" s="6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3"/>
      <c r="AL737" s="3"/>
      <c r="AM737" s="3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8"/>
      <c r="BU737" s="8"/>
      <c r="BV737" s="8"/>
      <c r="BW737" s="8"/>
      <c r="BX737" s="3"/>
      <c r="BY737" s="3"/>
      <c r="BZ737" s="3"/>
      <c r="CA737" s="8"/>
      <c r="CB737" s="8"/>
      <c r="CC737" s="8"/>
      <c r="CD737" s="8"/>
      <c r="CE737" s="8"/>
      <c r="CF737" s="8"/>
      <c r="CG737" s="9"/>
      <c r="CH737" s="8"/>
      <c r="CI737" s="8"/>
      <c r="CJ737" s="8"/>
      <c r="CK737" s="8"/>
      <c r="CL737" s="8"/>
      <c r="CM737" s="8"/>
      <c r="CN737" s="8"/>
      <c r="CO737" s="8"/>
      <c r="CP737" s="8"/>
      <c r="CQ737" s="9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8"/>
      <c r="DC737" s="8"/>
      <c r="DD737" s="8"/>
      <c r="DE737" s="8"/>
      <c r="DF737" s="9"/>
      <c r="DG737" s="9"/>
      <c r="DH737" s="10"/>
      <c r="DI737" s="9"/>
      <c r="DJ737" s="9"/>
      <c r="DK737" s="3"/>
      <c r="DL737" s="3"/>
      <c r="DM737" s="3"/>
    </row>
    <row r="738" ht="11.25" customHeight="1">
      <c r="A738" s="3"/>
      <c r="B738" s="2"/>
      <c r="C738" s="3"/>
      <c r="D738" s="3"/>
      <c r="E738" s="3"/>
      <c r="F738" s="4"/>
      <c r="G738" s="4"/>
      <c r="H738" s="4"/>
      <c r="I738" s="5"/>
      <c r="J738" s="4"/>
      <c r="K738" s="4"/>
      <c r="L738" s="6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3"/>
      <c r="AL738" s="3"/>
      <c r="AM738" s="3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8"/>
      <c r="BU738" s="8"/>
      <c r="BV738" s="8"/>
      <c r="BW738" s="8"/>
      <c r="BX738" s="3"/>
      <c r="BY738" s="3"/>
      <c r="BZ738" s="3"/>
      <c r="CA738" s="8"/>
      <c r="CB738" s="8"/>
      <c r="CC738" s="8"/>
      <c r="CD738" s="8"/>
      <c r="CE738" s="8"/>
      <c r="CF738" s="8"/>
      <c r="CG738" s="9"/>
      <c r="CH738" s="8"/>
      <c r="CI738" s="8"/>
      <c r="CJ738" s="8"/>
      <c r="CK738" s="8"/>
      <c r="CL738" s="8"/>
      <c r="CM738" s="8"/>
      <c r="CN738" s="8"/>
      <c r="CO738" s="8"/>
      <c r="CP738" s="8"/>
      <c r="CQ738" s="9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8"/>
      <c r="DC738" s="8"/>
      <c r="DD738" s="8"/>
      <c r="DE738" s="8"/>
      <c r="DF738" s="9"/>
      <c r="DG738" s="9"/>
      <c r="DH738" s="10"/>
      <c r="DI738" s="9"/>
      <c r="DJ738" s="9"/>
      <c r="DK738" s="3"/>
      <c r="DL738" s="3"/>
      <c r="DM738" s="3"/>
    </row>
    <row r="739" ht="11.25" customHeight="1">
      <c r="A739" s="3"/>
      <c r="B739" s="2"/>
      <c r="C739" s="3"/>
      <c r="D739" s="3"/>
      <c r="E739" s="3"/>
      <c r="F739" s="4"/>
      <c r="G739" s="4"/>
      <c r="H739" s="4"/>
      <c r="I739" s="5"/>
      <c r="J739" s="4"/>
      <c r="K739" s="4"/>
      <c r="L739" s="6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3"/>
      <c r="AL739" s="3"/>
      <c r="AM739" s="3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8"/>
      <c r="BU739" s="8"/>
      <c r="BV739" s="8"/>
      <c r="BW739" s="8"/>
      <c r="BX739" s="3"/>
      <c r="BY739" s="3"/>
      <c r="BZ739" s="3"/>
      <c r="CA739" s="8"/>
      <c r="CB739" s="8"/>
      <c r="CC739" s="8"/>
      <c r="CD739" s="8"/>
      <c r="CE739" s="8"/>
      <c r="CF739" s="8"/>
      <c r="CG739" s="9"/>
      <c r="CH739" s="8"/>
      <c r="CI739" s="8"/>
      <c r="CJ739" s="8"/>
      <c r="CK739" s="8"/>
      <c r="CL739" s="8"/>
      <c r="CM739" s="8"/>
      <c r="CN739" s="8"/>
      <c r="CO739" s="8"/>
      <c r="CP739" s="8"/>
      <c r="CQ739" s="9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8"/>
      <c r="DE739" s="8"/>
      <c r="DF739" s="9"/>
      <c r="DG739" s="9"/>
      <c r="DH739" s="10"/>
      <c r="DI739" s="9"/>
      <c r="DJ739" s="9"/>
      <c r="DK739" s="3"/>
      <c r="DL739" s="3"/>
      <c r="DM739" s="3"/>
    </row>
    <row r="740" ht="11.25" customHeight="1">
      <c r="A740" s="3"/>
      <c r="B740" s="2"/>
      <c r="C740" s="3"/>
      <c r="D740" s="3"/>
      <c r="E740" s="3"/>
      <c r="F740" s="4"/>
      <c r="G740" s="4"/>
      <c r="H740" s="4"/>
      <c r="I740" s="5"/>
      <c r="J740" s="4"/>
      <c r="K740" s="4"/>
      <c r="L740" s="6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3"/>
      <c r="AL740" s="3"/>
      <c r="AM740" s="3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8"/>
      <c r="BU740" s="8"/>
      <c r="BV740" s="8"/>
      <c r="BW740" s="8"/>
      <c r="BX740" s="3"/>
      <c r="BY740" s="3"/>
      <c r="BZ740" s="3"/>
      <c r="CA740" s="8"/>
      <c r="CB740" s="8"/>
      <c r="CC740" s="8"/>
      <c r="CD740" s="8"/>
      <c r="CE740" s="8"/>
      <c r="CF740" s="8"/>
      <c r="CG740" s="9"/>
      <c r="CH740" s="8"/>
      <c r="CI740" s="8"/>
      <c r="CJ740" s="8"/>
      <c r="CK740" s="8"/>
      <c r="CL740" s="8"/>
      <c r="CM740" s="8"/>
      <c r="CN740" s="8"/>
      <c r="CO740" s="8"/>
      <c r="CP740" s="8"/>
      <c r="CQ740" s="9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8"/>
      <c r="DC740" s="8"/>
      <c r="DD740" s="8"/>
      <c r="DE740" s="8"/>
      <c r="DF740" s="9"/>
      <c r="DG740" s="9"/>
      <c r="DH740" s="10"/>
      <c r="DI740" s="9"/>
      <c r="DJ740" s="9"/>
      <c r="DK740" s="3"/>
      <c r="DL740" s="3"/>
      <c r="DM740" s="3"/>
    </row>
    <row r="741" ht="11.25" customHeight="1">
      <c r="A741" s="3"/>
      <c r="B741" s="2"/>
      <c r="C741" s="3"/>
      <c r="D741" s="3"/>
      <c r="E741" s="3"/>
      <c r="F741" s="4"/>
      <c r="G741" s="4"/>
      <c r="H741" s="4"/>
      <c r="I741" s="5"/>
      <c r="J741" s="4"/>
      <c r="K741" s="4"/>
      <c r="L741" s="6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3"/>
      <c r="AL741" s="3"/>
      <c r="AM741" s="3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8"/>
      <c r="BU741" s="8"/>
      <c r="BV741" s="8"/>
      <c r="BW741" s="8"/>
      <c r="BX741" s="3"/>
      <c r="BY741" s="3"/>
      <c r="BZ741" s="3"/>
      <c r="CA741" s="8"/>
      <c r="CB741" s="8"/>
      <c r="CC741" s="8"/>
      <c r="CD741" s="8"/>
      <c r="CE741" s="8"/>
      <c r="CF741" s="8"/>
      <c r="CG741" s="9"/>
      <c r="CH741" s="8"/>
      <c r="CI741" s="8"/>
      <c r="CJ741" s="8"/>
      <c r="CK741" s="8"/>
      <c r="CL741" s="8"/>
      <c r="CM741" s="8"/>
      <c r="CN741" s="8"/>
      <c r="CO741" s="8"/>
      <c r="CP741" s="8"/>
      <c r="CQ741" s="9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8"/>
      <c r="DC741" s="8"/>
      <c r="DD741" s="8"/>
      <c r="DE741" s="8"/>
      <c r="DF741" s="9"/>
      <c r="DG741" s="9"/>
      <c r="DH741" s="10"/>
      <c r="DI741" s="9"/>
      <c r="DJ741" s="9"/>
      <c r="DK741" s="3"/>
      <c r="DL741" s="3"/>
      <c r="DM741" s="3"/>
    </row>
    <row r="742" ht="11.25" customHeight="1">
      <c r="A742" s="3"/>
      <c r="B742" s="2"/>
      <c r="C742" s="3"/>
      <c r="D742" s="3"/>
      <c r="E742" s="3"/>
      <c r="F742" s="4"/>
      <c r="G742" s="4"/>
      <c r="H742" s="4"/>
      <c r="I742" s="5"/>
      <c r="J742" s="4"/>
      <c r="K742" s="4"/>
      <c r="L742" s="6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3"/>
      <c r="AL742" s="3"/>
      <c r="AM742" s="3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8"/>
      <c r="BU742" s="8"/>
      <c r="BV742" s="8"/>
      <c r="BW742" s="8"/>
      <c r="BX742" s="3"/>
      <c r="BY742" s="3"/>
      <c r="BZ742" s="3"/>
      <c r="CA742" s="8"/>
      <c r="CB742" s="8"/>
      <c r="CC742" s="8"/>
      <c r="CD742" s="8"/>
      <c r="CE742" s="8"/>
      <c r="CF742" s="8"/>
      <c r="CG742" s="9"/>
      <c r="CH742" s="8"/>
      <c r="CI742" s="8"/>
      <c r="CJ742" s="8"/>
      <c r="CK742" s="8"/>
      <c r="CL742" s="8"/>
      <c r="CM742" s="8"/>
      <c r="CN742" s="8"/>
      <c r="CO742" s="8"/>
      <c r="CP742" s="8"/>
      <c r="CQ742" s="9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8"/>
      <c r="DE742" s="8"/>
      <c r="DF742" s="9"/>
      <c r="DG742" s="9"/>
      <c r="DH742" s="10"/>
      <c r="DI742" s="9"/>
      <c r="DJ742" s="9"/>
      <c r="DK742" s="3"/>
      <c r="DL742" s="3"/>
      <c r="DM742" s="3"/>
    </row>
    <row r="743" ht="11.25" customHeight="1">
      <c r="A743" s="3"/>
      <c r="B743" s="2"/>
      <c r="C743" s="3"/>
      <c r="D743" s="3"/>
      <c r="E743" s="3"/>
      <c r="F743" s="4"/>
      <c r="G743" s="4"/>
      <c r="H743" s="4"/>
      <c r="I743" s="5"/>
      <c r="J743" s="4"/>
      <c r="K743" s="4"/>
      <c r="L743" s="6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3"/>
      <c r="AL743" s="3"/>
      <c r="AM743" s="3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8"/>
      <c r="BU743" s="8"/>
      <c r="BV743" s="8"/>
      <c r="BW743" s="8"/>
      <c r="BX743" s="3"/>
      <c r="BY743" s="3"/>
      <c r="BZ743" s="3"/>
      <c r="CA743" s="8"/>
      <c r="CB743" s="8"/>
      <c r="CC743" s="8"/>
      <c r="CD743" s="8"/>
      <c r="CE743" s="8"/>
      <c r="CF743" s="8"/>
      <c r="CG743" s="9"/>
      <c r="CH743" s="8"/>
      <c r="CI743" s="8"/>
      <c r="CJ743" s="8"/>
      <c r="CK743" s="8"/>
      <c r="CL743" s="8"/>
      <c r="CM743" s="8"/>
      <c r="CN743" s="8"/>
      <c r="CO743" s="8"/>
      <c r="CP743" s="8"/>
      <c r="CQ743" s="9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8"/>
      <c r="DC743" s="8"/>
      <c r="DD743" s="8"/>
      <c r="DE743" s="8"/>
      <c r="DF743" s="9"/>
      <c r="DG743" s="9"/>
      <c r="DH743" s="10"/>
      <c r="DI743" s="9"/>
      <c r="DJ743" s="9"/>
      <c r="DK743" s="3"/>
      <c r="DL743" s="3"/>
      <c r="DM743" s="3"/>
    </row>
    <row r="744" ht="11.25" customHeight="1">
      <c r="A744" s="3"/>
      <c r="B744" s="2"/>
      <c r="C744" s="3"/>
      <c r="D744" s="3"/>
      <c r="E744" s="3"/>
      <c r="F744" s="4"/>
      <c r="G744" s="4"/>
      <c r="H744" s="4"/>
      <c r="I744" s="5"/>
      <c r="J744" s="4"/>
      <c r="K744" s="4"/>
      <c r="L744" s="6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3"/>
      <c r="AL744" s="3"/>
      <c r="AM744" s="3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8"/>
      <c r="BU744" s="8"/>
      <c r="BV744" s="8"/>
      <c r="BW744" s="8"/>
      <c r="BX744" s="3"/>
      <c r="BY744" s="3"/>
      <c r="BZ744" s="3"/>
      <c r="CA744" s="8"/>
      <c r="CB744" s="8"/>
      <c r="CC744" s="8"/>
      <c r="CD744" s="8"/>
      <c r="CE744" s="8"/>
      <c r="CF744" s="8"/>
      <c r="CG744" s="9"/>
      <c r="CH744" s="8"/>
      <c r="CI744" s="8"/>
      <c r="CJ744" s="8"/>
      <c r="CK744" s="8"/>
      <c r="CL744" s="8"/>
      <c r="CM744" s="8"/>
      <c r="CN744" s="8"/>
      <c r="CO744" s="8"/>
      <c r="CP744" s="8"/>
      <c r="CQ744" s="9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8"/>
      <c r="DC744" s="8"/>
      <c r="DD744" s="8"/>
      <c r="DE744" s="8"/>
      <c r="DF744" s="9"/>
      <c r="DG744" s="9"/>
      <c r="DH744" s="10"/>
      <c r="DI744" s="9"/>
      <c r="DJ744" s="9"/>
      <c r="DK744" s="3"/>
      <c r="DL744" s="3"/>
      <c r="DM744" s="3"/>
    </row>
    <row r="745" ht="11.25" customHeight="1">
      <c r="A745" s="3"/>
      <c r="B745" s="2"/>
      <c r="C745" s="3"/>
      <c r="D745" s="3"/>
      <c r="E745" s="3"/>
      <c r="F745" s="4"/>
      <c r="G745" s="4"/>
      <c r="H745" s="4"/>
      <c r="I745" s="5"/>
      <c r="J745" s="4"/>
      <c r="K745" s="4"/>
      <c r="L745" s="6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3"/>
      <c r="AL745" s="3"/>
      <c r="AM745" s="3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8"/>
      <c r="BU745" s="8"/>
      <c r="BV745" s="8"/>
      <c r="BW745" s="8"/>
      <c r="BX745" s="3"/>
      <c r="BY745" s="3"/>
      <c r="BZ745" s="3"/>
      <c r="CA745" s="8"/>
      <c r="CB745" s="8"/>
      <c r="CC745" s="8"/>
      <c r="CD745" s="8"/>
      <c r="CE745" s="8"/>
      <c r="CF745" s="8"/>
      <c r="CG745" s="9"/>
      <c r="CH745" s="8"/>
      <c r="CI745" s="8"/>
      <c r="CJ745" s="8"/>
      <c r="CK745" s="8"/>
      <c r="CL745" s="8"/>
      <c r="CM745" s="8"/>
      <c r="CN745" s="8"/>
      <c r="CO745" s="8"/>
      <c r="CP745" s="8"/>
      <c r="CQ745" s="9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8"/>
      <c r="DE745" s="8"/>
      <c r="DF745" s="9"/>
      <c r="DG745" s="9"/>
      <c r="DH745" s="10"/>
      <c r="DI745" s="9"/>
      <c r="DJ745" s="9"/>
      <c r="DK745" s="3"/>
      <c r="DL745" s="3"/>
      <c r="DM745" s="3"/>
    </row>
    <row r="746" ht="11.25" customHeight="1">
      <c r="A746" s="3"/>
      <c r="B746" s="2"/>
      <c r="C746" s="3"/>
      <c r="D746" s="3"/>
      <c r="E746" s="3"/>
      <c r="F746" s="4"/>
      <c r="G746" s="4"/>
      <c r="H746" s="4"/>
      <c r="I746" s="5"/>
      <c r="J746" s="4"/>
      <c r="K746" s="4"/>
      <c r="L746" s="6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3"/>
      <c r="AL746" s="3"/>
      <c r="AM746" s="3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8"/>
      <c r="BU746" s="8"/>
      <c r="BV746" s="8"/>
      <c r="BW746" s="8"/>
      <c r="BX746" s="3"/>
      <c r="BY746" s="3"/>
      <c r="BZ746" s="3"/>
      <c r="CA746" s="8"/>
      <c r="CB746" s="8"/>
      <c r="CC746" s="8"/>
      <c r="CD746" s="8"/>
      <c r="CE746" s="8"/>
      <c r="CF746" s="8"/>
      <c r="CG746" s="9"/>
      <c r="CH746" s="8"/>
      <c r="CI746" s="8"/>
      <c r="CJ746" s="8"/>
      <c r="CK746" s="8"/>
      <c r="CL746" s="8"/>
      <c r="CM746" s="8"/>
      <c r="CN746" s="8"/>
      <c r="CO746" s="8"/>
      <c r="CP746" s="8"/>
      <c r="CQ746" s="9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8"/>
      <c r="DC746" s="8"/>
      <c r="DD746" s="8"/>
      <c r="DE746" s="8"/>
      <c r="DF746" s="9"/>
      <c r="DG746" s="9"/>
      <c r="DH746" s="10"/>
      <c r="DI746" s="9"/>
      <c r="DJ746" s="9"/>
      <c r="DK746" s="3"/>
      <c r="DL746" s="3"/>
      <c r="DM746" s="3"/>
    </row>
    <row r="747" ht="11.25" customHeight="1">
      <c r="A747" s="3"/>
      <c r="B747" s="2"/>
      <c r="C747" s="3"/>
      <c r="D747" s="3"/>
      <c r="E747" s="3"/>
      <c r="F747" s="4"/>
      <c r="G747" s="4"/>
      <c r="H747" s="4"/>
      <c r="I747" s="5"/>
      <c r="J747" s="4"/>
      <c r="K747" s="4"/>
      <c r="L747" s="6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3"/>
      <c r="AL747" s="3"/>
      <c r="AM747" s="3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8"/>
      <c r="BU747" s="8"/>
      <c r="BV747" s="8"/>
      <c r="BW747" s="8"/>
      <c r="BX747" s="3"/>
      <c r="BY747" s="3"/>
      <c r="BZ747" s="3"/>
      <c r="CA747" s="8"/>
      <c r="CB747" s="8"/>
      <c r="CC747" s="8"/>
      <c r="CD747" s="8"/>
      <c r="CE747" s="8"/>
      <c r="CF747" s="8"/>
      <c r="CG747" s="9"/>
      <c r="CH747" s="8"/>
      <c r="CI747" s="8"/>
      <c r="CJ747" s="8"/>
      <c r="CK747" s="8"/>
      <c r="CL747" s="8"/>
      <c r="CM747" s="8"/>
      <c r="CN747" s="8"/>
      <c r="CO747" s="8"/>
      <c r="CP747" s="8"/>
      <c r="CQ747" s="9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8"/>
      <c r="DE747" s="8"/>
      <c r="DF747" s="9"/>
      <c r="DG747" s="9"/>
      <c r="DH747" s="10"/>
      <c r="DI747" s="9"/>
      <c r="DJ747" s="9"/>
      <c r="DK747" s="3"/>
      <c r="DL747" s="3"/>
      <c r="DM747" s="3"/>
    </row>
    <row r="748" ht="11.25" customHeight="1">
      <c r="A748" s="3"/>
      <c r="B748" s="2"/>
      <c r="C748" s="3"/>
      <c r="D748" s="3"/>
      <c r="E748" s="3"/>
      <c r="F748" s="4"/>
      <c r="G748" s="4"/>
      <c r="H748" s="4"/>
      <c r="I748" s="5"/>
      <c r="J748" s="4"/>
      <c r="K748" s="4"/>
      <c r="L748" s="6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3"/>
      <c r="AL748" s="3"/>
      <c r="AM748" s="3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8"/>
      <c r="BU748" s="8"/>
      <c r="BV748" s="8"/>
      <c r="BW748" s="8"/>
      <c r="BX748" s="3"/>
      <c r="BY748" s="3"/>
      <c r="BZ748" s="3"/>
      <c r="CA748" s="8"/>
      <c r="CB748" s="8"/>
      <c r="CC748" s="8"/>
      <c r="CD748" s="8"/>
      <c r="CE748" s="8"/>
      <c r="CF748" s="8"/>
      <c r="CG748" s="9"/>
      <c r="CH748" s="8"/>
      <c r="CI748" s="8"/>
      <c r="CJ748" s="8"/>
      <c r="CK748" s="8"/>
      <c r="CL748" s="8"/>
      <c r="CM748" s="8"/>
      <c r="CN748" s="8"/>
      <c r="CO748" s="8"/>
      <c r="CP748" s="8"/>
      <c r="CQ748" s="9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8"/>
      <c r="DC748" s="8"/>
      <c r="DD748" s="8"/>
      <c r="DE748" s="8"/>
      <c r="DF748" s="9"/>
      <c r="DG748" s="9"/>
      <c r="DH748" s="10"/>
      <c r="DI748" s="9"/>
      <c r="DJ748" s="9"/>
      <c r="DK748" s="3"/>
      <c r="DL748" s="3"/>
      <c r="DM748" s="3"/>
    </row>
    <row r="749" ht="11.25" customHeight="1">
      <c r="A749" s="3"/>
      <c r="B749" s="2"/>
      <c r="C749" s="3"/>
      <c r="D749" s="3"/>
      <c r="E749" s="3"/>
      <c r="F749" s="4"/>
      <c r="G749" s="4"/>
      <c r="H749" s="4"/>
      <c r="I749" s="5"/>
      <c r="J749" s="4"/>
      <c r="K749" s="4"/>
      <c r="L749" s="6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3"/>
      <c r="AL749" s="3"/>
      <c r="AM749" s="3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8"/>
      <c r="BU749" s="8"/>
      <c r="BV749" s="8"/>
      <c r="BW749" s="8"/>
      <c r="BX749" s="3"/>
      <c r="BY749" s="3"/>
      <c r="BZ749" s="3"/>
      <c r="CA749" s="8"/>
      <c r="CB749" s="8"/>
      <c r="CC749" s="8"/>
      <c r="CD749" s="8"/>
      <c r="CE749" s="8"/>
      <c r="CF749" s="8"/>
      <c r="CG749" s="9"/>
      <c r="CH749" s="8"/>
      <c r="CI749" s="8"/>
      <c r="CJ749" s="8"/>
      <c r="CK749" s="8"/>
      <c r="CL749" s="8"/>
      <c r="CM749" s="8"/>
      <c r="CN749" s="8"/>
      <c r="CO749" s="8"/>
      <c r="CP749" s="8"/>
      <c r="CQ749" s="9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8"/>
      <c r="DC749" s="8"/>
      <c r="DD749" s="8"/>
      <c r="DE749" s="8"/>
      <c r="DF749" s="9"/>
      <c r="DG749" s="9"/>
      <c r="DH749" s="10"/>
      <c r="DI749" s="9"/>
      <c r="DJ749" s="9"/>
      <c r="DK749" s="3"/>
      <c r="DL749" s="3"/>
      <c r="DM749" s="3"/>
    </row>
    <row r="750" ht="11.25" customHeight="1">
      <c r="A750" s="3"/>
      <c r="B750" s="2"/>
      <c r="C750" s="3"/>
      <c r="D750" s="3"/>
      <c r="E750" s="3"/>
      <c r="F750" s="4"/>
      <c r="G750" s="4"/>
      <c r="H750" s="4"/>
      <c r="I750" s="5"/>
      <c r="J750" s="4"/>
      <c r="K750" s="4"/>
      <c r="L750" s="6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3"/>
      <c r="AL750" s="3"/>
      <c r="AM750" s="3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8"/>
      <c r="BU750" s="8"/>
      <c r="BV750" s="8"/>
      <c r="BW750" s="8"/>
      <c r="BX750" s="3"/>
      <c r="BY750" s="3"/>
      <c r="BZ750" s="3"/>
      <c r="CA750" s="8"/>
      <c r="CB750" s="8"/>
      <c r="CC750" s="8"/>
      <c r="CD750" s="8"/>
      <c r="CE750" s="8"/>
      <c r="CF750" s="8"/>
      <c r="CG750" s="9"/>
      <c r="CH750" s="8"/>
      <c r="CI750" s="8"/>
      <c r="CJ750" s="8"/>
      <c r="CK750" s="8"/>
      <c r="CL750" s="8"/>
      <c r="CM750" s="8"/>
      <c r="CN750" s="8"/>
      <c r="CO750" s="8"/>
      <c r="CP750" s="8"/>
      <c r="CQ750" s="9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8"/>
      <c r="DC750" s="8"/>
      <c r="DD750" s="8"/>
      <c r="DE750" s="8"/>
      <c r="DF750" s="9"/>
      <c r="DG750" s="9"/>
      <c r="DH750" s="10"/>
      <c r="DI750" s="9"/>
      <c r="DJ750" s="9"/>
      <c r="DK750" s="3"/>
      <c r="DL750" s="3"/>
      <c r="DM750" s="3"/>
    </row>
    <row r="751" ht="11.25" customHeight="1">
      <c r="A751" s="3"/>
      <c r="B751" s="2"/>
      <c r="C751" s="3"/>
      <c r="D751" s="3"/>
      <c r="E751" s="3"/>
      <c r="F751" s="4"/>
      <c r="G751" s="4"/>
      <c r="H751" s="4"/>
      <c r="I751" s="5"/>
      <c r="J751" s="4"/>
      <c r="K751" s="4"/>
      <c r="L751" s="6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3"/>
      <c r="AL751" s="3"/>
      <c r="AM751" s="3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8"/>
      <c r="BU751" s="8"/>
      <c r="BV751" s="8"/>
      <c r="BW751" s="8"/>
      <c r="BX751" s="3"/>
      <c r="BY751" s="3"/>
      <c r="BZ751" s="3"/>
      <c r="CA751" s="8"/>
      <c r="CB751" s="8"/>
      <c r="CC751" s="8"/>
      <c r="CD751" s="8"/>
      <c r="CE751" s="8"/>
      <c r="CF751" s="8"/>
      <c r="CG751" s="9"/>
      <c r="CH751" s="8"/>
      <c r="CI751" s="8"/>
      <c r="CJ751" s="8"/>
      <c r="CK751" s="8"/>
      <c r="CL751" s="8"/>
      <c r="CM751" s="8"/>
      <c r="CN751" s="8"/>
      <c r="CO751" s="8"/>
      <c r="CP751" s="8"/>
      <c r="CQ751" s="9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8"/>
      <c r="DE751" s="8"/>
      <c r="DF751" s="9"/>
      <c r="DG751" s="9"/>
      <c r="DH751" s="10"/>
      <c r="DI751" s="9"/>
      <c r="DJ751" s="9"/>
      <c r="DK751" s="3"/>
      <c r="DL751" s="3"/>
      <c r="DM751" s="3"/>
    </row>
    <row r="752" ht="11.25" customHeight="1">
      <c r="A752" s="3"/>
      <c r="B752" s="2"/>
      <c r="C752" s="3"/>
      <c r="D752" s="3"/>
      <c r="E752" s="3"/>
      <c r="F752" s="4"/>
      <c r="G752" s="4"/>
      <c r="H752" s="4"/>
      <c r="I752" s="5"/>
      <c r="J752" s="4"/>
      <c r="K752" s="4"/>
      <c r="L752" s="6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3"/>
      <c r="AL752" s="3"/>
      <c r="AM752" s="3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8"/>
      <c r="BU752" s="8"/>
      <c r="BV752" s="8"/>
      <c r="BW752" s="8"/>
      <c r="BX752" s="3"/>
      <c r="BY752" s="3"/>
      <c r="BZ752" s="3"/>
      <c r="CA752" s="8"/>
      <c r="CB752" s="8"/>
      <c r="CC752" s="8"/>
      <c r="CD752" s="8"/>
      <c r="CE752" s="8"/>
      <c r="CF752" s="8"/>
      <c r="CG752" s="9"/>
      <c r="CH752" s="8"/>
      <c r="CI752" s="8"/>
      <c r="CJ752" s="8"/>
      <c r="CK752" s="8"/>
      <c r="CL752" s="8"/>
      <c r="CM752" s="8"/>
      <c r="CN752" s="8"/>
      <c r="CO752" s="8"/>
      <c r="CP752" s="8"/>
      <c r="CQ752" s="9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8"/>
      <c r="DC752" s="8"/>
      <c r="DD752" s="8"/>
      <c r="DE752" s="8"/>
      <c r="DF752" s="9"/>
      <c r="DG752" s="9"/>
      <c r="DH752" s="10"/>
      <c r="DI752" s="9"/>
      <c r="DJ752" s="9"/>
      <c r="DK752" s="3"/>
      <c r="DL752" s="3"/>
      <c r="DM752" s="3"/>
    </row>
    <row r="753" ht="11.25" customHeight="1">
      <c r="A753" s="3"/>
      <c r="B753" s="2"/>
      <c r="C753" s="3"/>
      <c r="D753" s="3"/>
      <c r="E753" s="3"/>
      <c r="F753" s="4"/>
      <c r="G753" s="4"/>
      <c r="H753" s="4"/>
      <c r="I753" s="5"/>
      <c r="J753" s="4"/>
      <c r="K753" s="4"/>
      <c r="L753" s="6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3"/>
      <c r="AL753" s="3"/>
      <c r="AM753" s="3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8"/>
      <c r="BU753" s="8"/>
      <c r="BV753" s="8"/>
      <c r="BW753" s="8"/>
      <c r="BX753" s="3"/>
      <c r="BY753" s="3"/>
      <c r="BZ753" s="3"/>
      <c r="CA753" s="8"/>
      <c r="CB753" s="8"/>
      <c r="CC753" s="8"/>
      <c r="CD753" s="8"/>
      <c r="CE753" s="8"/>
      <c r="CF753" s="8"/>
      <c r="CG753" s="9"/>
      <c r="CH753" s="8"/>
      <c r="CI753" s="8"/>
      <c r="CJ753" s="8"/>
      <c r="CK753" s="8"/>
      <c r="CL753" s="8"/>
      <c r="CM753" s="8"/>
      <c r="CN753" s="8"/>
      <c r="CO753" s="8"/>
      <c r="CP753" s="8"/>
      <c r="CQ753" s="9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8"/>
      <c r="DC753" s="8"/>
      <c r="DD753" s="8"/>
      <c r="DE753" s="8"/>
      <c r="DF753" s="9"/>
      <c r="DG753" s="9"/>
      <c r="DH753" s="10"/>
      <c r="DI753" s="9"/>
      <c r="DJ753" s="9"/>
      <c r="DK753" s="3"/>
      <c r="DL753" s="3"/>
      <c r="DM753" s="3"/>
    </row>
    <row r="754" ht="11.25" customHeight="1">
      <c r="A754" s="3"/>
      <c r="B754" s="2"/>
      <c r="C754" s="3"/>
      <c r="D754" s="3"/>
      <c r="E754" s="3"/>
      <c r="F754" s="4"/>
      <c r="G754" s="4"/>
      <c r="H754" s="4"/>
      <c r="I754" s="5"/>
      <c r="J754" s="4"/>
      <c r="K754" s="4"/>
      <c r="L754" s="6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3"/>
      <c r="AL754" s="3"/>
      <c r="AM754" s="3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8"/>
      <c r="BU754" s="8"/>
      <c r="BV754" s="8"/>
      <c r="BW754" s="8"/>
      <c r="BX754" s="3"/>
      <c r="BY754" s="3"/>
      <c r="BZ754" s="3"/>
      <c r="CA754" s="8"/>
      <c r="CB754" s="8"/>
      <c r="CC754" s="8"/>
      <c r="CD754" s="8"/>
      <c r="CE754" s="8"/>
      <c r="CF754" s="8"/>
      <c r="CG754" s="9"/>
      <c r="CH754" s="8"/>
      <c r="CI754" s="8"/>
      <c r="CJ754" s="8"/>
      <c r="CK754" s="8"/>
      <c r="CL754" s="8"/>
      <c r="CM754" s="8"/>
      <c r="CN754" s="8"/>
      <c r="CO754" s="8"/>
      <c r="CP754" s="8"/>
      <c r="CQ754" s="9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8"/>
      <c r="DC754" s="8"/>
      <c r="DD754" s="8"/>
      <c r="DE754" s="8"/>
      <c r="DF754" s="9"/>
      <c r="DG754" s="9"/>
      <c r="DH754" s="10"/>
      <c r="DI754" s="9"/>
      <c r="DJ754" s="9"/>
      <c r="DK754" s="3"/>
      <c r="DL754" s="3"/>
      <c r="DM754" s="3"/>
    </row>
    <row r="755" ht="11.25" customHeight="1">
      <c r="A755" s="3"/>
      <c r="B755" s="2"/>
      <c r="C755" s="3"/>
      <c r="D755" s="3"/>
      <c r="E755" s="3"/>
      <c r="F755" s="4"/>
      <c r="G755" s="4"/>
      <c r="H755" s="4"/>
      <c r="I755" s="5"/>
      <c r="J755" s="4"/>
      <c r="K755" s="4"/>
      <c r="L755" s="6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3"/>
      <c r="AL755" s="3"/>
      <c r="AM755" s="3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8"/>
      <c r="BU755" s="8"/>
      <c r="BV755" s="8"/>
      <c r="BW755" s="8"/>
      <c r="BX755" s="3"/>
      <c r="BY755" s="3"/>
      <c r="BZ755" s="3"/>
      <c r="CA755" s="8"/>
      <c r="CB755" s="8"/>
      <c r="CC755" s="8"/>
      <c r="CD755" s="8"/>
      <c r="CE755" s="8"/>
      <c r="CF755" s="8"/>
      <c r="CG755" s="9"/>
      <c r="CH755" s="8"/>
      <c r="CI755" s="8"/>
      <c r="CJ755" s="8"/>
      <c r="CK755" s="8"/>
      <c r="CL755" s="8"/>
      <c r="CM755" s="8"/>
      <c r="CN755" s="8"/>
      <c r="CO755" s="8"/>
      <c r="CP755" s="8"/>
      <c r="CQ755" s="9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C755" s="8"/>
      <c r="DD755" s="8"/>
      <c r="DE755" s="8"/>
      <c r="DF755" s="9"/>
      <c r="DG755" s="9"/>
      <c r="DH755" s="10"/>
      <c r="DI755" s="9"/>
      <c r="DJ755" s="9"/>
      <c r="DK755" s="3"/>
      <c r="DL755" s="3"/>
      <c r="DM755" s="3"/>
    </row>
    <row r="756" ht="11.25" customHeight="1">
      <c r="A756" s="3"/>
      <c r="B756" s="2"/>
      <c r="C756" s="3"/>
      <c r="D756" s="3"/>
      <c r="E756" s="3"/>
      <c r="F756" s="4"/>
      <c r="G756" s="4"/>
      <c r="H756" s="4"/>
      <c r="I756" s="5"/>
      <c r="J756" s="4"/>
      <c r="K756" s="4"/>
      <c r="L756" s="6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3"/>
      <c r="AL756" s="3"/>
      <c r="AM756" s="3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8"/>
      <c r="BU756" s="8"/>
      <c r="BV756" s="8"/>
      <c r="BW756" s="8"/>
      <c r="BX756" s="3"/>
      <c r="BY756" s="3"/>
      <c r="BZ756" s="3"/>
      <c r="CA756" s="8"/>
      <c r="CB756" s="8"/>
      <c r="CC756" s="8"/>
      <c r="CD756" s="8"/>
      <c r="CE756" s="8"/>
      <c r="CF756" s="8"/>
      <c r="CG756" s="9"/>
      <c r="CH756" s="8"/>
      <c r="CI756" s="8"/>
      <c r="CJ756" s="8"/>
      <c r="CK756" s="8"/>
      <c r="CL756" s="8"/>
      <c r="CM756" s="8"/>
      <c r="CN756" s="8"/>
      <c r="CO756" s="8"/>
      <c r="CP756" s="8"/>
      <c r="CQ756" s="9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8"/>
      <c r="DE756" s="8"/>
      <c r="DF756" s="9"/>
      <c r="DG756" s="9"/>
      <c r="DH756" s="10"/>
      <c r="DI756" s="9"/>
      <c r="DJ756" s="9"/>
      <c r="DK756" s="3"/>
      <c r="DL756" s="3"/>
      <c r="DM756" s="3"/>
    </row>
    <row r="757" ht="11.25" customHeight="1">
      <c r="A757" s="3"/>
      <c r="B757" s="2"/>
      <c r="C757" s="3"/>
      <c r="D757" s="3"/>
      <c r="E757" s="3"/>
      <c r="F757" s="4"/>
      <c r="G757" s="4"/>
      <c r="H757" s="4"/>
      <c r="I757" s="5"/>
      <c r="J757" s="4"/>
      <c r="K757" s="4"/>
      <c r="L757" s="6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3"/>
      <c r="AL757" s="3"/>
      <c r="AM757" s="3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8"/>
      <c r="BU757" s="8"/>
      <c r="BV757" s="8"/>
      <c r="BW757" s="8"/>
      <c r="BX757" s="3"/>
      <c r="BY757" s="3"/>
      <c r="BZ757" s="3"/>
      <c r="CA757" s="8"/>
      <c r="CB757" s="8"/>
      <c r="CC757" s="8"/>
      <c r="CD757" s="8"/>
      <c r="CE757" s="8"/>
      <c r="CF757" s="8"/>
      <c r="CG757" s="9"/>
      <c r="CH757" s="8"/>
      <c r="CI757" s="8"/>
      <c r="CJ757" s="8"/>
      <c r="CK757" s="8"/>
      <c r="CL757" s="8"/>
      <c r="CM757" s="8"/>
      <c r="CN757" s="8"/>
      <c r="CO757" s="8"/>
      <c r="CP757" s="8"/>
      <c r="CQ757" s="9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8"/>
      <c r="DE757" s="8"/>
      <c r="DF757" s="9"/>
      <c r="DG757" s="9"/>
      <c r="DH757" s="10"/>
      <c r="DI757" s="9"/>
      <c r="DJ757" s="9"/>
      <c r="DK757" s="3"/>
      <c r="DL757" s="3"/>
      <c r="DM757" s="3"/>
    </row>
    <row r="758" ht="11.25" customHeight="1">
      <c r="A758" s="3"/>
      <c r="B758" s="2"/>
      <c r="C758" s="3"/>
      <c r="D758" s="3"/>
      <c r="E758" s="3"/>
      <c r="F758" s="4"/>
      <c r="G758" s="4"/>
      <c r="H758" s="4"/>
      <c r="I758" s="5"/>
      <c r="J758" s="4"/>
      <c r="K758" s="4"/>
      <c r="L758" s="6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3"/>
      <c r="AL758" s="3"/>
      <c r="AM758" s="3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8"/>
      <c r="BU758" s="8"/>
      <c r="BV758" s="8"/>
      <c r="BW758" s="8"/>
      <c r="BX758" s="3"/>
      <c r="BY758" s="3"/>
      <c r="BZ758" s="3"/>
      <c r="CA758" s="8"/>
      <c r="CB758" s="8"/>
      <c r="CC758" s="8"/>
      <c r="CD758" s="8"/>
      <c r="CE758" s="8"/>
      <c r="CF758" s="8"/>
      <c r="CG758" s="9"/>
      <c r="CH758" s="8"/>
      <c r="CI758" s="8"/>
      <c r="CJ758" s="8"/>
      <c r="CK758" s="8"/>
      <c r="CL758" s="8"/>
      <c r="CM758" s="8"/>
      <c r="CN758" s="8"/>
      <c r="CO758" s="8"/>
      <c r="CP758" s="8"/>
      <c r="CQ758" s="9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8"/>
      <c r="DC758" s="8"/>
      <c r="DD758" s="8"/>
      <c r="DE758" s="8"/>
      <c r="DF758" s="9"/>
      <c r="DG758" s="9"/>
      <c r="DH758" s="10"/>
      <c r="DI758" s="9"/>
      <c r="DJ758" s="9"/>
      <c r="DK758" s="3"/>
      <c r="DL758" s="3"/>
      <c r="DM758" s="3"/>
    </row>
    <row r="759" ht="11.25" customHeight="1">
      <c r="A759" s="3"/>
      <c r="B759" s="2"/>
      <c r="C759" s="3"/>
      <c r="D759" s="3"/>
      <c r="E759" s="3"/>
      <c r="F759" s="4"/>
      <c r="G759" s="4"/>
      <c r="H759" s="4"/>
      <c r="I759" s="5"/>
      <c r="J759" s="4"/>
      <c r="K759" s="4"/>
      <c r="L759" s="6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3"/>
      <c r="AL759" s="3"/>
      <c r="AM759" s="3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8"/>
      <c r="BU759" s="8"/>
      <c r="BV759" s="8"/>
      <c r="BW759" s="8"/>
      <c r="BX759" s="3"/>
      <c r="BY759" s="3"/>
      <c r="BZ759" s="3"/>
      <c r="CA759" s="8"/>
      <c r="CB759" s="8"/>
      <c r="CC759" s="8"/>
      <c r="CD759" s="8"/>
      <c r="CE759" s="8"/>
      <c r="CF759" s="8"/>
      <c r="CG759" s="9"/>
      <c r="CH759" s="8"/>
      <c r="CI759" s="8"/>
      <c r="CJ759" s="8"/>
      <c r="CK759" s="8"/>
      <c r="CL759" s="8"/>
      <c r="CM759" s="8"/>
      <c r="CN759" s="8"/>
      <c r="CO759" s="8"/>
      <c r="CP759" s="8"/>
      <c r="CQ759" s="9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8"/>
      <c r="DC759" s="8"/>
      <c r="DD759" s="8"/>
      <c r="DE759" s="8"/>
      <c r="DF759" s="9"/>
      <c r="DG759" s="9"/>
      <c r="DH759" s="10"/>
      <c r="DI759" s="9"/>
      <c r="DJ759" s="9"/>
      <c r="DK759" s="3"/>
      <c r="DL759" s="3"/>
      <c r="DM759" s="3"/>
    </row>
    <row r="760" ht="11.25" customHeight="1">
      <c r="A760" s="3"/>
      <c r="B760" s="2"/>
      <c r="C760" s="3"/>
      <c r="D760" s="3"/>
      <c r="E760" s="3"/>
      <c r="F760" s="4"/>
      <c r="G760" s="4"/>
      <c r="H760" s="4"/>
      <c r="I760" s="5"/>
      <c r="J760" s="4"/>
      <c r="K760" s="4"/>
      <c r="L760" s="6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3"/>
      <c r="AL760" s="3"/>
      <c r="AM760" s="3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8"/>
      <c r="BU760" s="8"/>
      <c r="BV760" s="8"/>
      <c r="BW760" s="8"/>
      <c r="BX760" s="3"/>
      <c r="BY760" s="3"/>
      <c r="BZ760" s="3"/>
      <c r="CA760" s="8"/>
      <c r="CB760" s="8"/>
      <c r="CC760" s="8"/>
      <c r="CD760" s="8"/>
      <c r="CE760" s="8"/>
      <c r="CF760" s="8"/>
      <c r="CG760" s="9"/>
      <c r="CH760" s="8"/>
      <c r="CI760" s="8"/>
      <c r="CJ760" s="8"/>
      <c r="CK760" s="8"/>
      <c r="CL760" s="8"/>
      <c r="CM760" s="8"/>
      <c r="CN760" s="8"/>
      <c r="CO760" s="8"/>
      <c r="CP760" s="8"/>
      <c r="CQ760" s="9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8"/>
      <c r="DC760" s="8"/>
      <c r="DD760" s="8"/>
      <c r="DE760" s="8"/>
      <c r="DF760" s="9"/>
      <c r="DG760" s="9"/>
      <c r="DH760" s="10"/>
      <c r="DI760" s="9"/>
      <c r="DJ760" s="9"/>
      <c r="DK760" s="3"/>
      <c r="DL760" s="3"/>
      <c r="DM760" s="3"/>
    </row>
    <row r="761" ht="11.25" customHeight="1">
      <c r="A761" s="3"/>
      <c r="B761" s="2"/>
      <c r="C761" s="3"/>
      <c r="D761" s="3"/>
      <c r="E761" s="3"/>
      <c r="F761" s="4"/>
      <c r="G761" s="4"/>
      <c r="H761" s="4"/>
      <c r="I761" s="5"/>
      <c r="J761" s="4"/>
      <c r="K761" s="4"/>
      <c r="L761" s="6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3"/>
      <c r="AL761" s="3"/>
      <c r="AM761" s="3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8"/>
      <c r="BU761" s="8"/>
      <c r="BV761" s="8"/>
      <c r="BW761" s="8"/>
      <c r="BX761" s="3"/>
      <c r="BY761" s="3"/>
      <c r="BZ761" s="3"/>
      <c r="CA761" s="8"/>
      <c r="CB761" s="8"/>
      <c r="CC761" s="8"/>
      <c r="CD761" s="8"/>
      <c r="CE761" s="8"/>
      <c r="CF761" s="8"/>
      <c r="CG761" s="9"/>
      <c r="CH761" s="8"/>
      <c r="CI761" s="8"/>
      <c r="CJ761" s="8"/>
      <c r="CK761" s="8"/>
      <c r="CL761" s="8"/>
      <c r="CM761" s="8"/>
      <c r="CN761" s="8"/>
      <c r="CO761" s="8"/>
      <c r="CP761" s="8"/>
      <c r="CQ761" s="9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8"/>
      <c r="DC761" s="8"/>
      <c r="DD761" s="8"/>
      <c r="DE761" s="8"/>
      <c r="DF761" s="9"/>
      <c r="DG761" s="9"/>
      <c r="DH761" s="10"/>
      <c r="DI761" s="9"/>
      <c r="DJ761" s="9"/>
      <c r="DK761" s="3"/>
      <c r="DL761" s="3"/>
      <c r="DM761" s="3"/>
    </row>
    <row r="762" ht="11.25" customHeight="1">
      <c r="A762" s="3"/>
      <c r="B762" s="2"/>
      <c r="C762" s="3"/>
      <c r="D762" s="3"/>
      <c r="E762" s="3"/>
      <c r="F762" s="4"/>
      <c r="G762" s="4"/>
      <c r="H762" s="4"/>
      <c r="I762" s="5"/>
      <c r="J762" s="4"/>
      <c r="K762" s="4"/>
      <c r="L762" s="6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3"/>
      <c r="AL762" s="3"/>
      <c r="AM762" s="3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8"/>
      <c r="BU762" s="8"/>
      <c r="BV762" s="8"/>
      <c r="BW762" s="8"/>
      <c r="BX762" s="3"/>
      <c r="BY762" s="3"/>
      <c r="BZ762" s="3"/>
      <c r="CA762" s="8"/>
      <c r="CB762" s="8"/>
      <c r="CC762" s="8"/>
      <c r="CD762" s="8"/>
      <c r="CE762" s="8"/>
      <c r="CF762" s="8"/>
      <c r="CG762" s="9"/>
      <c r="CH762" s="8"/>
      <c r="CI762" s="8"/>
      <c r="CJ762" s="8"/>
      <c r="CK762" s="8"/>
      <c r="CL762" s="8"/>
      <c r="CM762" s="8"/>
      <c r="CN762" s="8"/>
      <c r="CO762" s="8"/>
      <c r="CP762" s="8"/>
      <c r="CQ762" s="9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8"/>
      <c r="DC762" s="8"/>
      <c r="DD762" s="8"/>
      <c r="DE762" s="8"/>
      <c r="DF762" s="9"/>
      <c r="DG762" s="9"/>
      <c r="DH762" s="10"/>
      <c r="DI762" s="9"/>
      <c r="DJ762" s="9"/>
      <c r="DK762" s="3"/>
      <c r="DL762" s="3"/>
      <c r="DM762" s="3"/>
    </row>
    <row r="763" ht="11.25" customHeight="1">
      <c r="A763" s="3"/>
      <c r="B763" s="2"/>
      <c r="C763" s="3"/>
      <c r="D763" s="3"/>
      <c r="E763" s="3"/>
      <c r="F763" s="4"/>
      <c r="G763" s="4"/>
      <c r="H763" s="4"/>
      <c r="I763" s="5"/>
      <c r="J763" s="4"/>
      <c r="K763" s="4"/>
      <c r="L763" s="6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3"/>
      <c r="AL763" s="3"/>
      <c r="AM763" s="3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8"/>
      <c r="BU763" s="8"/>
      <c r="BV763" s="8"/>
      <c r="BW763" s="8"/>
      <c r="BX763" s="3"/>
      <c r="BY763" s="3"/>
      <c r="BZ763" s="3"/>
      <c r="CA763" s="8"/>
      <c r="CB763" s="8"/>
      <c r="CC763" s="8"/>
      <c r="CD763" s="8"/>
      <c r="CE763" s="8"/>
      <c r="CF763" s="8"/>
      <c r="CG763" s="9"/>
      <c r="CH763" s="8"/>
      <c r="CI763" s="8"/>
      <c r="CJ763" s="8"/>
      <c r="CK763" s="8"/>
      <c r="CL763" s="8"/>
      <c r="CM763" s="8"/>
      <c r="CN763" s="8"/>
      <c r="CO763" s="8"/>
      <c r="CP763" s="8"/>
      <c r="CQ763" s="9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8"/>
      <c r="DC763" s="8"/>
      <c r="DD763" s="8"/>
      <c r="DE763" s="8"/>
      <c r="DF763" s="9"/>
      <c r="DG763" s="9"/>
      <c r="DH763" s="10"/>
      <c r="DI763" s="9"/>
      <c r="DJ763" s="9"/>
      <c r="DK763" s="3"/>
      <c r="DL763" s="3"/>
      <c r="DM763" s="3"/>
    </row>
    <row r="764" ht="11.25" customHeight="1">
      <c r="A764" s="3"/>
      <c r="B764" s="2"/>
      <c r="C764" s="3"/>
      <c r="D764" s="3"/>
      <c r="E764" s="3"/>
      <c r="F764" s="4"/>
      <c r="G764" s="4"/>
      <c r="H764" s="4"/>
      <c r="I764" s="5"/>
      <c r="J764" s="4"/>
      <c r="K764" s="4"/>
      <c r="L764" s="6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3"/>
      <c r="AL764" s="3"/>
      <c r="AM764" s="3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8"/>
      <c r="BU764" s="8"/>
      <c r="BV764" s="8"/>
      <c r="BW764" s="8"/>
      <c r="BX764" s="3"/>
      <c r="BY764" s="3"/>
      <c r="BZ764" s="3"/>
      <c r="CA764" s="8"/>
      <c r="CB764" s="8"/>
      <c r="CC764" s="8"/>
      <c r="CD764" s="8"/>
      <c r="CE764" s="8"/>
      <c r="CF764" s="8"/>
      <c r="CG764" s="9"/>
      <c r="CH764" s="8"/>
      <c r="CI764" s="8"/>
      <c r="CJ764" s="8"/>
      <c r="CK764" s="8"/>
      <c r="CL764" s="8"/>
      <c r="CM764" s="8"/>
      <c r="CN764" s="8"/>
      <c r="CO764" s="8"/>
      <c r="CP764" s="8"/>
      <c r="CQ764" s="9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8"/>
      <c r="DC764" s="8"/>
      <c r="DD764" s="8"/>
      <c r="DE764" s="8"/>
      <c r="DF764" s="9"/>
      <c r="DG764" s="9"/>
      <c r="DH764" s="10"/>
      <c r="DI764" s="9"/>
      <c r="DJ764" s="9"/>
      <c r="DK764" s="3"/>
      <c r="DL764" s="3"/>
      <c r="DM764" s="3"/>
    </row>
    <row r="765" ht="11.25" customHeight="1">
      <c r="A765" s="3"/>
      <c r="B765" s="2"/>
      <c r="C765" s="3"/>
      <c r="D765" s="3"/>
      <c r="E765" s="3"/>
      <c r="F765" s="4"/>
      <c r="G765" s="4"/>
      <c r="H765" s="4"/>
      <c r="I765" s="5"/>
      <c r="J765" s="4"/>
      <c r="K765" s="4"/>
      <c r="L765" s="6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3"/>
      <c r="AL765" s="3"/>
      <c r="AM765" s="3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8"/>
      <c r="BU765" s="8"/>
      <c r="BV765" s="8"/>
      <c r="BW765" s="8"/>
      <c r="BX765" s="3"/>
      <c r="BY765" s="3"/>
      <c r="BZ765" s="3"/>
      <c r="CA765" s="8"/>
      <c r="CB765" s="8"/>
      <c r="CC765" s="8"/>
      <c r="CD765" s="8"/>
      <c r="CE765" s="8"/>
      <c r="CF765" s="8"/>
      <c r="CG765" s="9"/>
      <c r="CH765" s="8"/>
      <c r="CI765" s="8"/>
      <c r="CJ765" s="8"/>
      <c r="CK765" s="8"/>
      <c r="CL765" s="8"/>
      <c r="CM765" s="8"/>
      <c r="CN765" s="8"/>
      <c r="CO765" s="8"/>
      <c r="CP765" s="8"/>
      <c r="CQ765" s="9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8"/>
      <c r="DC765" s="8"/>
      <c r="DD765" s="8"/>
      <c r="DE765" s="8"/>
      <c r="DF765" s="9"/>
      <c r="DG765" s="9"/>
      <c r="DH765" s="10"/>
      <c r="DI765" s="9"/>
      <c r="DJ765" s="9"/>
      <c r="DK765" s="3"/>
      <c r="DL765" s="3"/>
      <c r="DM765" s="3"/>
    </row>
    <row r="766" ht="11.25" customHeight="1">
      <c r="A766" s="3"/>
      <c r="B766" s="2"/>
      <c r="C766" s="3"/>
      <c r="D766" s="3"/>
      <c r="E766" s="3"/>
      <c r="F766" s="4"/>
      <c r="G766" s="4"/>
      <c r="H766" s="4"/>
      <c r="I766" s="5"/>
      <c r="J766" s="4"/>
      <c r="K766" s="4"/>
      <c r="L766" s="6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3"/>
      <c r="AL766" s="3"/>
      <c r="AM766" s="3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8"/>
      <c r="BU766" s="8"/>
      <c r="BV766" s="8"/>
      <c r="BW766" s="8"/>
      <c r="BX766" s="3"/>
      <c r="BY766" s="3"/>
      <c r="BZ766" s="3"/>
      <c r="CA766" s="8"/>
      <c r="CB766" s="8"/>
      <c r="CC766" s="8"/>
      <c r="CD766" s="8"/>
      <c r="CE766" s="8"/>
      <c r="CF766" s="8"/>
      <c r="CG766" s="9"/>
      <c r="CH766" s="8"/>
      <c r="CI766" s="8"/>
      <c r="CJ766" s="8"/>
      <c r="CK766" s="8"/>
      <c r="CL766" s="8"/>
      <c r="CM766" s="8"/>
      <c r="CN766" s="8"/>
      <c r="CO766" s="8"/>
      <c r="CP766" s="8"/>
      <c r="CQ766" s="9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8"/>
      <c r="DC766" s="8"/>
      <c r="DD766" s="8"/>
      <c r="DE766" s="8"/>
      <c r="DF766" s="9"/>
      <c r="DG766" s="9"/>
      <c r="DH766" s="10"/>
      <c r="DI766" s="9"/>
      <c r="DJ766" s="9"/>
      <c r="DK766" s="3"/>
      <c r="DL766" s="3"/>
      <c r="DM766" s="3"/>
    </row>
    <row r="767" ht="11.25" customHeight="1">
      <c r="A767" s="3"/>
      <c r="B767" s="2"/>
      <c r="C767" s="3"/>
      <c r="D767" s="3"/>
      <c r="E767" s="3"/>
      <c r="F767" s="4"/>
      <c r="G767" s="4"/>
      <c r="H767" s="4"/>
      <c r="I767" s="5"/>
      <c r="J767" s="4"/>
      <c r="K767" s="4"/>
      <c r="L767" s="6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3"/>
      <c r="AL767" s="3"/>
      <c r="AM767" s="3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8"/>
      <c r="BU767" s="8"/>
      <c r="BV767" s="8"/>
      <c r="BW767" s="8"/>
      <c r="BX767" s="3"/>
      <c r="BY767" s="3"/>
      <c r="BZ767" s="3"/>
      <c r="CA767" s="8"/>
      <c r="CB767" s="8"/>
      <c r="CC767" s="8"/>
      <c r="CD767" s="8"/>
      <c r="CE767" s="8"/>
      <c r="CF767" s="8"/>
      <c r="CG767" s="9"/>
      <c r="CH767" s="8"/>
      <c r="CI767" s="8"/>
      <c r="CJ767" s="8"/>
      <c r="CK767" s="8"/>
      <c r="CL767" s="8"/>
      <c r="CM767" s="8"/>
      <c r="CN767" s="8"/>
      <c r="CO767" s="8"/>
      <c r="CP767" s="8"/>
      <c r="CQ767" s="9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8"/>
      <c r="DC767" s="8"/>
      <c r="DD767" s="8"/>
      <c r="DE767" s="8"/>
      <c r="DF767" s="9"/>
      <c r="DG767" s="9"/>
      <c r="DH767" s="10"/>
      <c r="DI767" s="9"/>
      <c r="DJ767" s="9"/>
      <c r="DK767" s="3"/>
      <c r="DL767" s="3"/>
      <c r="DM767" s="3"/>
    </row>
    <row r="768" ht="11.25" customHeight="1">
      <c r="A768" s="3"/>
      <c r="B768" s="2"/>
      <c r="C768" s="3"/>
      <c r="D768" s="3"/>
      <c r="E768" s="3"/>
      <c r="F768" s="4"/>
      <c r="G768" s="4"/>
      <c r="H768" s="4"/>
      <c r="I768" s="5"/>
      <c r="J768" s="4"/>
      <c r="K768" s="4"/>
      <c r="L768" s="6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3"/>
      <c r="AL768" s="3"/>
      <c r="AM768" s="3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8"/>
      <c r="BU768" s="8"/>
      <c r="BV768" s="8"/>
      <c r="BW768" s="8"/>
      <c r="BX768" s="3"/>
      <c r="BY768" s="3"/>
      <c r="BZ768" s="3"/>
      <c r="CA768" s="8"/>
      <c r="CB768" s="8"/>
      <c r="CC768" s="8"/>
      <c r="CD768" s="8"/>
      <c r="CE768" s="8"/>
      <c r="CF768" s="8"/>
      <c r="CG768" s="9"/>
      <c r="CH768" s="8"/>
      <c r="CI768" s="8"/>
      <c r="CJ768" s="8"/>
      <c r="CK768" s="8"/>
      <c r="CL768" s="8"/>
      <c r="CM768" s="8"/>
      <c r="CN768" s="8"/>
      <c r="CO768" s="8"/>
      <c r="CP768" s="8"/>
      <c r="CQ768" s="9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8"/>
      <c r="DC768" s="8"/>
      <c r="DD768" s="8"/>
      <c r="DE768" s="8"/>
      <c r="DF768" s="9"/>
      <c r="DG768" s="9"/>
      <c r="DH768" s="10"/>
      <c r="DI768" s="9"/>
      <c r="DJ768" s="9"/>
      <c r="DK768" s="3"/>
      <c r="DL768" s="3"/>
      <c r="DM768" s="3"/>
    </row>
    <row r="769" ht="11.25" customHeight="1">
      <c r="A769" s="3"/>
      <c r="B769" s="2"/>
      <c r="C769" s="3"/>
      <c r="D769" s="3"/>
      <c r="E769" s="3"/>
      <c r="F769" s="4"/>
      <c r="G769" s="4"/>
      <c r="H769" s="4"/>
      <c r="I769" s="5"/>
      <c r="J769" s="4"/>
      <c r="K769" s="4"/>
      <c r="L769" s="6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3"/>
      <c r="AL769" s="3"/>
      <c r="AM769" s="3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8"/>
      <c r="BU769" s="8"/>
      <c r="BV769" s="8"/>
      <c r="BW769" s="8"/>
      <c r="BX769" s="3"/>
      <c r="BY769" s="3"/>
      <c r="BZ769" s="3"/>
      <c r="CA769" s="8"/>
      <c r="CB769" s="8"/>
      <c r="CC769" s="8"/>
      <c r="CD769" s="8"/>
      <c r="CE769" s="8"/>
      <c r="CF769" s="8"/>
      <c r="CG769" s="9"/>
      <c r="CH769" s="8"/>
      <c r="CI769" s="8"/>
      <c r="CJ769" s="8"/>
      <c r="CK769" s="8"/>
      <c r="CL769" s="8"/>
      <c r="CM769" s="8"/>
      <c r="CN769" s="8"/>
      <c r="CO769" s="8"/>
      <c r="CP769" s="8"/>
      <c r="CQ769" s="9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8"/>
      <c r="DC769" s="8"/>
      <c r="DD769" s="8"/>
      <c r="DE769" s="8"/>
      <c r="DF769" s="9"/>
      <c r="DG769" s="9"/>
      <c r="DH769" s="10"/>
      <c r="DI769" s="9"/>
      <c r="DJ769" s="9"/>
      <c r="DK769" s="3"/>
      <c r="DL769" s="3"/>
      <c r="DM769" s="3"/>
    </row>
    <row r="770" ht="11.25" customHeight="1">
      <c r="A770" s="3"/>
      <c r="B770" s="2"/>
      <c r="C770" s="3"/>
      <c r="D770" s="3"/>
      <c r="E770" s="3"/>
      <c r="F770" s="4"/>
      <c r="G770" s="4"/>
      <c r="H770" s="4"/>
      <c r="I770" s="5"/>
      <c r="J770" s="4"/>
      <c r="K770" s="4"/>
      <c r="L770" s="6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3"/>
      <c r="AL770" s="3"/>
      <c r="AM770" s="3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8"/>
      <c r="BU770" s="8"/>
      <c r="BV770" s="8"/>
      <c r="BW770" s="8"/>
      <c r="BX770" s="3"/>
      <c r="BY770" s="3"/>
      <c r="BZ770" s="3"/>
      <c r="CA770" s="8"/>
      <c r="CB770" s="8"/>
      <c r="CC770" s="8"/>
      <c r="CD770" s="8"/>
      <c r="CE770" s="8"/>
      <c r="CF770" s="8"/>
      <c r="CG770" s="9"/>
      <c r="CH770" s="8"/>
      <c r="CI770" s="8"/>
      <c r="CJ770" s="8"/>
      <c r="CK770" s="8"/>
      <c r="CL770" s="8"/>
      <c r="CM770" s="8"/>
      <c r="CN770" s="8"/>
      <c r="CO770" s="8"/>
      <c r="CP770" s="8"/>
      <c r="CQ770" s="9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8"/>
      <c r="DC770" s="8"/>
      <c r="DD770" s="8"/>
      <c r="DE770" s="8"/>
      <c r="DF770" s="9"/>
      <c r="DG770" s="9"/>
      <c r="DH770" s="10"/>
      <c r="DI770" s="9"/>
      <c r="DJ770" s="9"/>
      <c r="DK770" s="3"/>
      <c r="DL770" s="3"/>
      <c r="DM770" s="3"/>
    </row>
    <row r="771" ht="11.25" customHeight="1">
      <c r="A771" s="3"/>
      <c r="B771" s="2"/>
      <c r="C771" s="3"/>
      <c r="D771" s="3"/>
      <c r="E771" s="3"/>
      <c r="F771" s="4"/>
      <c r="G771" s="4"/>
      <c r="H771" s="4"/>
      <c r="I771" s="5"/>
      <c r="J771" s="4"/>
      <c r="K771" s="4"/>
      <c r="L771" s="6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3"/>
      <c r="AL771" s="3"/>
      <c r="AM771" s="3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8"/>
      <c r="BU771" s="8"/>
      <c r="BV771" s="8"/>
      <c r="BW771" s="8"/>
      <c r="BX771" s="3"/>
      <c r="BY771" s="3"/>
      <c r="BZ771" s="3"/>
      <c r="CA771" s="8"/>
      <c r="CB771" s="8"/>
      <c r="CC771" s="8"/>
      <c r="CD771" s="8"/>
      <c r="CE771" s="8"/>
      <c r="CF771" s="8"/>
      <c r="CG771" s="9"/>
      <c r="CH771" s="8"/>
      <c r="CI771" s="8"/>
      <c r="CJ771" s="8"/>
      <c r="CK771" s="8"/>
      <c r="CL771" s="8"/>
      <c r="CM771" s="8"/>
      <c r="CN771" s="8"/>
      <c r="CO771" s="8"/>
      <c r="CP771" s="8"/>
      <c r="CQ771" s="9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8"/>
      <c r="DC771" s="8"/>
      <c r="DD771" s="8"/>
      <c r="DE771" s="8"/>
      <c r="DF771" s="9"/>
      <c r="DG771" s="9"/>
      <c r="DH771" s="10"/>
      <c r="DI771" s="9"/>
      <c r="DJ771" s="9"/>
      <c r="DK771" s="3"/>
      <c r="DL771" s="3"/>
      <c r="DM771" s="3"/>
    </row>
    <row r="772" ht="11.25" customHeight="1">
      <c r="A772" s="3"/>
      <c r="B772" s="2"/>
      <c r="C772" s="3"/>
      <c r="D772" s="3"/>
      <c r="E772" s="3"/>
      <c r="F772" s="4"/>
      <c r="G772" s="4"/>
      <c r="H772" s="4"/>
      <c r="I772" s="5"/>
      <c r="J772" s="4"/>
      <c r="K772" s="4"/>
      <c r="L772" s="6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3"/>
      <c r="AL772" s="3"/>
      <c r="AM772" s="3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8"/>
      <c r="BU772" s="8"/>
      <c r="BV772" s="8"/>
      <c r="BW772" s="8"/>
      <c r="BX772" s="3"/>
      <c r="BY772" s="3"/>
      <c r="BZ772" s="3"/>
      <c r="CA772" s="8"/>
      <c r="CB772" s="8"/>
      <c r="CC772" s="8"/>
      <c r="CD772" s="8"/>
      <c r="CE772" s="8"/>
      <c r="CF772" s="8"/>
      <c r="CG772" s="9"/>
      <c r="CH772" s="8"/>
      <c r="CI772" s="8"/>
      <c r="CJ772" s="8"/>
      <c r="CK772" s="8"/>
      <c r="CL772" s="8"/>
      <c r="CM772" s="8"/>
      <c r="CN772" s="8"/>
      <c r="CO772" s="8"/>
      <c r="CP772" s="8"/>
      <c r="CQ772" s="9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8"/>
      <c r="DC772" s="8"/>
      <c r="DD772" s="8"/>
      <c r="DE772" s="8"/>
      <c r="DF772" s="9"/>
      <c r="DG772" s="9"/>
      <c r="DH772" s="10"/>
      <c r="DI772" s="9"/>
      <c r="DJ772" s="9"/>
      <c r="DK772" s="3"/>
      <c r="DL772" s="3"/>
      <c r="DM772" s="3"/>
    </row>
    <row r="773" ht="11.25" customHeight="1">
      <c r="A773" s="3"/>
      <c r="B773" s="2"/>
      <c r="C773" s="3"/>
      <c r="D773" s="3"/>
      <c r="E773" s="3"/>
      <c r="F773" s="4"/>
      <c r="G773" s="4"/>
      <c r="H773" s="4"/>
      <c r="I773" s="5"/>
      <c r="J773" s="4"/>
      <c r="K773" s="4"/>
      <c r="L773" s="6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3"/>
      <c r="AL773" s="3"/>
      <c r="AM773" s="3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8"/>
      <c r="BU773" s="8"/>
      <c r="BV773" s="8"/>
      <c r="BW773" s="8"/>
      <c r="BX773" s="3"/>
      <c r="BY773" s="3"/>
      <c r="BZ773" s="3"/>
      <c r="CA773" s="8"/>
      <c r="CB773" s="8"/>
      <c r="CC773" s="8"/>
      <c r="CD773" s="8"/>
      <c r="CE773" s="8"/>
      <c r="CF773" s="8"/>
      <c r="CG773" s="9"/>
      <c r="CH773" s="8"/>
      <c r="CI773" s="8"/>
      <c r="CJ773" s="8"/>
      <c r="CK773" s="8"/>
      <c r="CL773" s="8"/>
      <c r="CM773" s="8"/>
      <c r="CN773" s="8"/>
      <c r="CO773" s="8"/>
      <c r="CP773" s="8"/>
      <c r="CQ773" s="9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8"/>
      <c r="DC773" s="8"/>
      <c r="DD773" s="8"/>
      <c r="DE773" s="8"/>
      <c r="DF773" s="9"/>
      <c r="DG773" s="9"/>
      <c r="DH773" s="10"/>
      <c r="DI773" s="9"/>
      <c r="DJ773" s="9"/>
      <c r="DK773" s="3"/>
      <c r="DL773" s="3"/>
      <c r="DM773" s="3"/>
    </row>
    <row r="774" ht="11.25" customHeight="1">
      <c r="A774" s="3"/>
      <c r="B774" s="2"/>
      <c r="C774" s="3"/>
      <c r="D774" s="3"/>
      <c r="E774" s="3"/>
      <c r="F774" s="4"/>
      <c r="G774" s="4"/>
      <c r="H774" s="4"/>
      <c r="I774" s="5"/>
      <c r="J774" s="4"/>
      <c r="K774" s="4"/>
      <c r="L774" s="6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3"/>
      <c r="AL774" s="3"/>
      <c r="AM774" s="3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8"/>
      <c r="BU774" s="8"/>
      <c r="BV774" s="8"/>
      <c r="BW774" s="8"/>
      <c r="BX774" s="3"/>
      <c r="BY774" s="3"/>
      <c r="BZ774" s="3"/>
      <c r="CA774" s="8"/>
      <c r="CB774" s="8"/>
      <c r="CC774" s="8"/>
      <c r="CD774" s="8"/>
      <c r="CE774" s="8"/>
      <c r="CF774" s="8"/>
      <c r="CG774" s="9"/>
      <c r="CH774" s="8"/>
      <c r="CI774" s="8"/>
      <c r="CJ774" s="8"/>
      <c r="CK774" s="8"/>
      <c r="CL774" s="8"/>
      <c r="CM774" s="8"/>
      <c r="CN774" s="8"/>
      <c r="CO774" s="8"/>
      <c r="CP774" s="8"/>
      <c r="CQ774" s="9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8"/>
      <c r="DC774" s="8"/>
      <c r="DD774" s="8"/>
      <c r="DE774" s="8"/>
      <c r="DF774" s="9"/>
      <c r="DG774" s="9"/>
      <c r="DH774" s="10"/>
      <c r="DI774" s="9"/>
      <c r="DJ774" s="9"/>
      <c r="DK774" s="3"/>
      <c r="DL774" s="3"/>
      <c r="DM774" s="3"/>
    </row>
    <row r="775" ht="11.25" customHeight="1">
      <c r="A775" s="3"/>
      <c r="B775" s="2"/>
      <c r="C775" s="3"/>
      <c r="D775" s="3"/>
      <c r="E775" s="3"/>
      <c r="F775" s="4"/>
      <c r="G775" s="4"/>
      <c r="H775" s="4"/>
      <c r="I775" s="5"/>
      <c r="J775" s="4"/>
      <c r="K775" s="4"/>
      <c r="L775" s="6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3"/>
      <c r="AL775" s="3"/>
      <c r="AM775" s="3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8"/>
      <c r="BU775" s="8"/>
      <c r="BV775" s="8"/>
      <c r="BW775" s="8"/>
      <c r="BX775" s="3"/>
      <c r="BY775" s="3"/>
      <c r="BZ775" s="3"/>
      <c r="CA775" s="8"/>
      <c r="CB775" s="8"/>
      <c r="CC775" s="8"/>
      <c r="CD775" s="8"/>
      <c r="CE775" s="8"/>
      <c r="CF775" s="8"/>
      <c r="CG775" s="9"/>
      <c r="CH775" s="8"/>
      <c r="CI775" s="8"/>
      <c r="CJ775" s="8"/>
      <c r="CK775" s="8"/>
      <c r="CL775" s="8"/>
      <c r="CM775" s="8"/>
      <c r="CN775" s="8"/>
      <c r="CO775" s="8"/>
      <c r="CP775" s="8"/>
      <c r="CQ775" s="9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8"/>
      <c r="DC775" s="8"/>
      <c r="DD775" s="8"/>
      <c r="DE775" s="8"/>
      <c r="DF775" s="9"/>
      <c r="DG775" s="9"/>
      <c r="DH775" s="10"/>
      <c r="DI775" s="9"/>
      <c r="DJ775" s="9"/>
      <c r="DK775" s="3"/>
      <c r="DL775" s="3"/>
      <c r="DM775" s="3"/>
    </row>
    <row r="776" ht="11.25" customHeight="1">
      <c r="A776" s="3"/>
      <c r="B776" s="2"/>
      <c r="C776" s="3"/>
      <c r="D776" s="3"/>
      <c r="E776" s="3"/>
      <c r="F776" s="4"/>
      <c r="G776" s="4"/>
      <c r="H776" s="4"/>
      <c r="I776" s="5"/>
      <c r="J776" s="4"/>
      <c r="K776" s="4"/>
      <c r="L776" s="6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3"/>
      <c r="AL776" s="3"/>
      <c r="AM776" s="3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8"/>
      <c r="BU776" s="8"/>
      <c r="BV776" s="8"/>
      <c r="BW776" s="8"/>
      <c r="BX776" s="3"/>
      <c r="BY776" s="3"/>
      <c r="BZ776" s="3"/>
      <c r="CA776" s="8"/>
      <c r="CB776" s="8"/>
      <c r="CC776" s="8"/>
      <c r="CD776" s="8"/>
      <c r="CE776" s="8"/>
      <c r="CF776" s="8"/>
      <c r="CG776" s="9"/>
      <c r="CH776" s="8"/>
      <c r="CI776" s="8"/>
      <c r="CJ776" s="8"/>
      <c r="CK776" s="8"/>
      <c r="CL776" s="8"/>
      <c r="CM776" s="8"/>
      <c r="CN776" s="8"/>
      <c r="CO776" s="8"/>
      <c r="CP776" s="8"/>
      <c r="CQ776" s="9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8"/>
      <c r="DC776" s="8"/>
      <c r="DD776" s="8"/>
      <c r="DE776" s="8"/>
      <c r="DF776" s="9"/>
      <c r="DG776" s="9"/>
      <c r="DH776" s="10"/>
      <c r="DI776" s="9"/>
      <c r="DJ776" s="9"/>
      <c r="DK776" s="3"/>
      <c r="DL776" s="3"/>
      <c r="DM776" s="3"/>
    </row>
    <row r="777" ht="11.25" customHeight="1">
      <c r="A777" s="3"/>
      <c r="B777" s="2"/>
      <c r="C777" s="3"/>
      <c r="D777" s="3"/>
      <c r="E777" s="3"/>
      <c r="F777" s="4"/>
      <c r="G777" s="4"/>
      <c r="H777" s="4"/>
      <c r="I777" s="5"/>
      <c r="J777" s="4"/>
      <c r="K777" s="4"/>
      <c r="L777" s="6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3"/>
      <c r="AL777" s="3"/>
      <c r="AM777" s="3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8"/>
      <c r="BU777" s="8"/>
      <c r="BV777" s="8"/>
      <c r="BW777" s="8"/>
      <c r="BX777" s="3"/>
      <c r="BY777" s="3"/>
      <c r="BZ777" s="3"/>
      <c r="CA777" s="8"/>
      <c r="CB777" s="8"/>
      <c r="CC777" s="8"/>
      <c r="CD777" s="8"/>
      <c r="CE777" s="8"/>
      <c r="CF777" s="8"/>
      <c r="CG777" s="9"/>
      <c r="CH777" s="8"/>
      <c r="CI777" s="8"/>
      <c r="CJ777" s="8"/>
      <c r="CK777" s="8"/>
      <c r="CL777" s="8"/>
      <c r="CM777" s="8"/>
      <c r="CN777" s="8"/>
      <c r="CO777" s="8"/>
      <c r="CP777" s="8"/>
      <c r="CQ777" s="9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8"/>
      <c r="DC777" s="8"/>
      <c r="DD777" s="8"/>
      <c r="DE777" s="8"/>
      <c r="DF777" s="9"/>
      <c r="DG777" s="9"/>
      <c r="DH777" s="10"/>
      <c r="DI777" s="9"/>
      <c r="DJ777" s="9"/>
      <c r="DK777" s="3"/>
      <c r="DL777" s="3"/>
      <c r="DM777" s="3"/>
    </row>
    <row r="778" ht="11.25" customHeight="1">
      <c r="A778" s="3"/>
      <c r="B778" s="2"/>
      <c r="C778" s="3"/>
      <c r="D778" s="3"/>
      <c r="E778" s="3"/>
      <c r="F778" s="4"/>
      <c r="G778" s="4"/>
      <c r="H778" s="4"/>
      <c r="I778" s="5"/>
      <c r="J778" s="4"/>
      <c r="K778" s="4"/>
      <c r="L778" s="6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3"/>
      <c r="AL778" s="3"/>
      <c r="AM778" s="3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8"/>
      <c r="BU778" s="8"/>
      <c r="BV778" s="8"/>
      <c r="BW778" s="8"/>
      <c r="BX778" s="3"/>
      <c r="BY778" s="3"/>
      <c r="BZ778" s="3"/>
      <c r="CA778" s="8"/>
      <c r="CB778" s="8"/>
      <c r="CC778" s="8"/>
      <c r="CD778" s="8"/>
      <c r="CE778" s="8"/>
      <c r="CF778" s="8"/>
      <c r="CG778" s="9"/>
      <c r="CH778" s="8"/>
      <c r="CI778" s="8"/>
      <c r="CJ778" s="8"/>
      <c r="CK778" s="8"/>
      <c r="CL778" s="8"/>
      <c r="CM778" s="8"/>
      <c r="CN778" s="8"/>
      <c r="CO778" s="8"/>
      <c r="CP778" s="8"/>
      <c r="CQ778" s="9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8"/>
      <c r="DE778" s="8"/>
      <c r="DF778" s="9"/>
      <c r="DG778" s="9"/>
      <c r="DH778" s="10"/>
      <c r="DI778" s="9"/>
      <c r="DJ778" s="9"/>
      <c r="DK778" s="3"/>
      <c r="DL778" s="3"/>
      <c r="DM778" s="3"/>
    </row>
    <row r="779" ht="11.25" customHeight="1">
      <c r="A779" s="3"/>
      <c r="B779" s="2"/>
      <c r="C779" s="3"/>
      <c r="D779" s="3"/>
      <c r="E779" s="3"/>
      <c r="F779" s="4"/>
      <c r="G779" s="4"/>
      <c r="H779" s="4"/>
      <c r="I779" s="5"/>
      <c r="J779" s="4"/>
      <c r="K779" s="4"/>
      <c r="L779" s="6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3"/>
      <c r="AL779" s="3"/>
      <c r="AM779" s="3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8"/>
      <c r="BU779" s="8"/>
      <c r="BV779" s="8"/>
      <c r="BW779" s="8"/>
      <c r="BX779" s="3"/>
      <c r="BY779" s="3"/>
      <c r="BZ779" s="3"/>
      <c r="CA779" s="8"/>
      <c r="CB779" s="8"/>
      <c r="CC779" s="8"/>
      <c r="CD779" s="8"/>
      <c r="CE779" s="8"/>
      <c r="CF779" s="8"/>
      <c r="CG779" s="9"/>
      <c r="CH779" s="8"/>
      <c r="CI779" s="8"/>
      <c r="CJ779" s="8"/>
      <c r="CK779" s="8"/>
      <c r="CL779" s="8"/>
      <c r="CM779" s="8"/>
      <c r="CN779" s="8"/>
      <c r="CO779" s="8"/>
      <c r="CP779" s="8"/>
      <c r="CQ779" s="9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8"/>
      <c r="DC779" s="8"/>
      <c r="DD779" s="8"/>
      <c r="DE779" s="8"/>
      <c r="DF779" s="9"/>
      <c r="DG779" s="9"/>
      <c r="DH779" s="10"/>
      <c r="DI779" s="9"/>
      <c r="DJ779" s="9"/>
      <c r="DK779" s="3"/>
      <c r="DL779" s="3"/>
      <c r="DM779" s="3"/>
    </row>
    <row r="780" ht="11.25" customHeight="1">
      <c r="A780" s="3"/>
      <c r="B780" s="2"/>
      <c r="C780" s="3"/>
      <c r="D780" s="3"/>
      <c r="E780" s="3"/>
      <c r="F780" s="4"/>
      <c r="G780" s="4"/>
      <c r="H780" s="4"/>
      <c r="I780" s="5"/>
      <c r="J780" s="4"/>
      <c r="K780" s="4"/>
      <c r="L780" s="6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3"/>
      <c r="AL780" s="3"/>
      <c r="AM780" s="3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8"/>
      <c r="BU780" s="8"/>
      <c r="BV780" s="8"/>
      <c r="BW780" s="8"/>
      <c r="BX780" s="3"/>
      <c r="BY780" s="3"/>
      <c r="BZ780" s="3"/>
      <c r="CA780" s="8"/>
      <c r="CB780" s="8"/>
      <c r="CC780" s="8"/>
      <c r="CD780" s="8"/>
      <c r="CE780" s="8"/>
      <c r="CF780" s="8"/>
      <c r="CG780" s="9"/>
      <c r="CH780" s="8"/>
      <c r="CI780" s="8"/>
      <c r="CJ780" s="8"/>
      <c r="CK780" s="8"/>
      <c r="CL780" s="8"/>
      <c r="CM780" s="8"/>
      <c r="CN780" s="8"/>
      <c r="CO780" s="8"/>
      <c r="CP780" s="8"/>
      <c r="CQ780" s="9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8"/>
      <c r="DC780" s="8"/>
      <c r="DD780" s="8"/>
      <c r="DE780" s="8"/>
      <c r="DF780" s="9"/>
      <c r="DG780" s="9"/>
      <c r="DH780" s="10"/>
      <c r="DI780" s="9"/>
      <c r="DJ780" s="9"/>
      <c r="DK780" s="3"/>
      <c r="DL780" s="3"/>
      <c r="DM780" s="3"/>
    </row>
    <row r="781" ht="11.25" customHeight="1">
      <c r="A781" s="3"/>
      <c r="B781" s="2"/>
      <c r="C781" s="3"/>
      <c r="D781" s="3"/>
      <c r="E781" s="3"/>
      <c r="F781" s="4"/>
      <c r="G781" s="4"/>
      <c r="H781" s="4"/>
      <c r="I781" s="5"/>
      <c r="J781" s="4"/>
      <c r="K781" s="4"/>
      <c r="L781" s="6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3"/>
      <c r="AL781" s="3"/>
      <c r="AM781" s="3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8"/>
      <c r="BU781" s="8"/>
      <c r="BV781" s="8"/>
      <c r="BW781" s="8"/>
      <c r="BX781" s="3"/>
      <c r="BY781" s="3"/>
      <c r="BZ781" s="3"/>
      <c r="CA781" s="8"/>
      <c r="CB781" s="8"/>
      <c r="CC781" s="8"/>
      <c r="CD781" s="8"/>
      <c r="CE781" s="8"/>
      <c r="CF781" s="8"/>
      <c r="CG781" s="9"/>
      <c r="CH781" s="8"/>
      <c r="CI781" s="8"/>
      <c r="CJ781" s="8"/>
      <c r="CK781" s="8"/>
      <c r="CL781" s="8"/>
      <c r="CM781" s="8"/>
      <c r="CN781" s="8"/>
      <c r="CO781" s="8"/>
      <c r="CP781" s="8"/>
      <c r="CQ781" s="9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8"/>
      <c r="DC781" s="8"/>
      <c r="DD781" s="8"/>
      <c r="DE781" s="8"/>
      <c r="DF781" s="9"/>
      <c r="DG781" s="9"/>
      <c r="DH781" s="10"/>
      <c r="DI781" s="9"/>
      <c r="DJ781" s="9"/>
      <c r="DK781" s="3"/>
      <c r="DL781" s="3"/>
      <c r="DM781" s="3"/>
    </row>
    <row r="782" ht="11.25" customHeight="1">
      <c r="A782" s="3"/>
      <c r="B782" s="2"/>
      <c r="C782" s="3"/>
      <c r="D782" s="3"/>
      <c r="E782" s="3"/>
      <c r="F782" s="4"/>
      <c r="G782" s="4"/>
      <c r="H782" s="4"/>
      <c r="I782" s="5"/>
      <c r="J782" s="4"/>
      <c r="K782" s="4"/>
      <c r="L782" s="6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3"/>
      <c r="AL782" s="3"/>
      <c r="AM782" s="3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8"/>
      <c r="BU782" s="8"/>
      <c r="BV782" s="8"/>
      <c r="BW782" s="8"/>
      <c r="BX782" s="3"/>
      <c r="BY782" s="3"/>
      <c r="BZ782" s="3"/>
      <c r="CA782" s="8"/>
      <c r="CB782" s="8"/>
      <c r="CC782" s="8"/>
      <c r="CD782" s="8"/>
      <c r="CE782" s="8"/>
      <c r="CF782" s="8"/>
      <c r="CG782" s="9"/>
      <c r="CH782" s="8"/>
      <c r="CI782" s="8"/>
      <c r="CJ782" s="8"/>
      <c r="CK782" s="8"/>
      <c r="CL782" s="8"/>
      <c r="CM782" s="8"/>
      <c r="CN782" s="8"/>
      <c r="CO782" s="8"/>
      <c r="CP782" s="8"/>
      <c r="CQ782" s="9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8"/>
      <c r="DE782" s="8"/>
      <c r="DF782" s="9"/>
      <c r="DG782" s="9"/>
      <c r="DH782" s="10"/>
      <c r="DI782" s="9"/>
      <c r="DJ782" s="9"/>
      <c r="DK782" s="3"/>
      <c r="DL782" s="3"/>
      <c r="DM782" s="3"/>
    </row>
    <row r="783" ht="11.25" customHeight="1">
      <c r="A783" s="3"/>
      <c r="B783" s="2"/>
      <c r="C783" s="3"/>
      <c r="D783" s="3"/>
      <c r="E783" s="3"/>
      <c r="F783" s="4"/>
      <c r="G783" s="4"/>
      <c r="H783" s="4"/>
      <c r="I783" s="5"/>
      <c r="J783" s="4"/>
      <c r="K783" s="4"/>
      <c r="L783" s="6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3"/>
      <c r="AL783" s="3"/>
      <c r="AM783" s="3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8"/>
      <c r="BU783" s="8"/>
      <c r="BV783" s="8"/>
      <c r="BW783" s="8"/>
      <c r="BX783" s="3"/>
      <c r="BY783" s="3"/>
      <c r="BZ783" s="3"/>
      <c r="CA783" s="8"/>
      <c r="CB783" s="8"/>
      <c r="CC783" s="8"/>
      <c r="CD783" s="8"/>
      <c r="CE783" s="8"/>
      <c r="CF783" s="8"/>
      <c r="CG783" s="9"/>
      <c r="CH783" s="8"/>
      <c r="CI783" s="8"/>
      <c r="CJ783" s="8"/>
      <c r="CK783" s="8"/>
      <c r="CL783" s="8"/>
      <c r="CM783" s="8"/>
      <c r="CN783" s="8"/>
      <c r="CO783" s="8"/>
      <c r="CP783" s="8"/>
      <c r="CQ783" s="9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8"/>
      <c r="DC783" s="8"/>
      <c r="DD783" s="8"/>
      <c r="DE783" s="8"/>
      <c r="DF783" s="9"/>
      <c r="DG783" s="9"/>
      <c r="DH783" s="10"/>
      <c r="DI783" s="9"/>
      <c r="DJ783" s="9"/>
      <c r="DK783" s="3"/>
      <c r="DL783" s="3"/>
      <c r="DM783" s="3"/>
    </row>
    <row r="784" ht="11.25" customHeight="1">
      <c r="A784" s="3"/>
      <c r="B784" s="2"/>
      <c r="C784" s="3"/>
      <c r="D784" s="3"/>
      <c r="E784" s="3"/>
      <c r="F784" s="4"/>
      <c r="G784" s="4"/>
      <c r="H784" s="4"/>
      <c r="I784" s="5"/>
      <c r="J784" s="4"/>
      <c r="K784" s="4"/>
      <c r="L784" s="6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3"/>
      <c r="AL784" s="3"/>
      <c r="AM784" s="3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8"/>
      <c r="BU784" s="8"/>
      <c r="BV784" s="8"/>
      <c r="BW784" s="8"/>
      <c r="BX784" s="3"/>
      <c r="BY784" s="3"/>
      <c r="BZ784" s="3"/>
      <c r="CA784" s="8"/>
      <c r="CB784" s="8"/>
      <c r="CC784" s="8"/>
      <c r="CD784" s="8"/>
      <c r="CE784" s="8"/>
      <c r="CF784" s="8"/>
      <c r="CG784" s="9"/>
      <c r="CH784" s="8"/>
      <c r="CI784" s="8"/>
      <c r="CJ784" s="8"/>
      <c r="CK784" s="8"/>
      <c r="CL784" s="8"/>
      <c r="CM784" s="8"/>
      <c r="CN784" s="8"/>
      <c r="CO784" s="8"/>
      <c r="CP784" s="8"/>
      <c r="CQ784" s="9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8"/>
      <c r="DC784" s="8"/>
      <c r="DD784" s="8"/>
      <c r="DE784" s="8"/>
      <c r="DF784" s="9"/>
      <c r="DG784" s="9"/>
      <c r="DH784" s="10"/>
      <c r="DI784" s="9"/>
      <c r="DJ784" s="9"/>
      <c r="DK784" s="3"/>
      <c r="DL784" s="3"/>
      <c r="DM784" s="3"/>
    </row>
    <row r="785" ht="11.25" customHeight="1">
      <c r="A785" s="3"/>
      <c r="B785" s="2"/>
      <c r="C785" s="3"/>
      <c r="D785" s="3"/>
      <c r="E785" s="3"/>
      <c r="F785" s="4"/>
      <c r="G785" s="4"/>
      <c r="H785" s="4"/>
      <c r="I785" s="5"/>
      <c r="J785" s="4"/>
      <c r="K785" s="4"/>
      <c r="L785" s="6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3"/>
      <c r="AL785" s="3"/>
      <c r="AM785" s="3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8"/>
      <c r="BU785" s="8"/>
      <c r="BV785" s="8"/>
      <c r="BW785" s="8"/>
      <c r="BX785" s="3"/>
      <c r="BY785" s="3"/>
      <c r="BZ785" s="3"/>
      <c r="CA785" s="8"/>
      <c r="CB785" s="8"/>
      <c r="CC785" s="8"/>
      <c r="CD785" s="8"/>
      <c r="CE785" s="8"/>
      <c r="CF785" s="8"/>
      <c r="CG785" s="9"/>
      <c r="CH785" s="8"/>
      <c r="CI785" s="8"/>
      <c r="CJ785" s="8"/>
      <c r="CK785" s="8"/>
      <c r="CL785" s="8"/>
      <c r="CM785" s="8"/>
      <c r="CN785" s="8"/>
      <c r="CO785" s="8"/>
      <c r="CP785" s="8"/>
      <c r="CQ785" s="9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8"/>
      <c r="DC785" s="8"/>
      <c r="DD785" s="8"/>
      <c r="DE785" s="8"/>
      <c r="DF785" s="9"/>
      <c r="DG785" s="9"/>
      <c r="DH785" s="10"/>
      <c r="DI785" s="9"/>
      <c r="DJ785" s="9"/>
      <c r="DK785" s="3"/>
      <c r="DL785" s="3"/>
      <c r="DM785" s="3"/>
    </row>
    <row r="786" ht="11.25" customHeight="1">
      <c r="A786" s="3"/>
      <c r="B786" s="2"/>
      <c r="C786" s="3"/>
      <c r="D786" s="3"/>
      <c r="E786" s="3"/>
      <c r="F786" s="4"/>
      <c r="G786" s="4"/>
      <c r="H786" s="4"/>
      <c r="I786" s="5"/>
      <c r="J786" s="4"/>
      <c r="K786" s="4"/>
      <c r="L786" s="6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3"/>
      <c r="AL786" s="3"/>
      <c r="AM786" s="3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8"/>
      <c r="BU786" s="8"/>
      <c r="BV786" s="8"/>
      <c r="BW786" s="8"/>
      <c r="BX786" s="3"/>
      <c r="BY786" s="3"/>
      <c r="BZ786" s="3"/>
      <c r="CA786" s="8"/>
      <c r="CB786" s="8"/>
      <c r="CC786" s="8"/>
      <c r="CD786" s="8"/>
      <c r="CE786" s="8"/>
      <c r="CF786" s="8"/>
      <c r="CG786" s="9"/>
      <c r="CH786" s="8"/>
      <c r="CI786" s="8"/>
      <c r="CJ786" s="8"/>
      <c r="CK786" s="8"/>
      <c r="CL786" s="8"/>
      <c r="CM786" s="8"/>
      <c r="CN786" s="8"/>
      <c r="CO786" s="8"/>
      <c r="CP786" s="8"/>
      <c r="CQ786" s="9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8"/>
      <c r="DC786" s="8"/>
      <c r="DD786" s="8"/>
      <c r="DE786" s="8"/>
      <c r="DF786" s="9"/>
      <c r="DG786" s="9"/>
      <c r="DH786" s="10"/>
      <c r="DI786" s="9"/>
      <c r="DJ786" s="9"/>
      <c r="DK786" s="3"/>
      <c r="DL786" s="3"/>
      <c r="DM786" s="3"/>
    </row>
    <row r="787" ht="11.25" customHeight="1">
      <c r="A787" s="3"/>
      <c r="B787" s="2"/>
      <c r="C787" s="3"/>
      <c r="D787" s="3"/>
      <c r="E787" s="3"/>
      <c r="F787" s="4"/>
      <c r="G787" s="4"/>
      <c r="H787" s="4"/>
      <c r="I787" s="5"/>
      <c r="J787" s="4"/>
      <c r="K787" s="4"/>
      <c r="L787" s="6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3"/>
      <c r="AL787" s="3"/>
      <c r="AM787" s="3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8"/>
      <c r="BU787" s="8"/>
      <c r="BV787" s="8"/>
      <c r="BW787" s="8"/>
      <c r="BX787" s="3"/>
      <c r="BY787" s="3"/>
      <c r="BZ787" s="3"/>
      <c r="CA787" s="8"/>
      <c r="CB787" s="8"/>
      <c r="CC787" s="8"/>
      <c r="CD787" s="8"/>
      <c r="CE787" s="8"/>
      <c r="CF787" s="8"/>
      <c r="CG787" s="9"/>
      <c r="CH787" s="8"/>
      <c r="CI787" s="8"/>
      <c r="CJ787" s="8"/>
      <c r="CK787" s="8"/>
      <c r="CL787" s="8"/>
      <c r="CM787" s="8"/>
      <c r="CN787" s="8"/>
      <c r="CO787" s="8"/>
      <c r="CP787" s="8"/>
      <c r="CQ787" s="9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8"/>
      <c r="DC787" s="8"/>
      <c r="DD787" s="8"/>
      <c r="DE787" s="8"/>
      <c r="DF787" s="9"/>
      <c r="DG787" s="9"/>
      <c r="DH787" s="10"/>
      <c r="DI787" s="9"/>
      <c r="DJ787" s="9"/>
      <c r="DK787" s="3"/>
      <c r="DL787" s="3"/>
      <c r="DM787" s="3"/>
    </row>
    <row r="788" ht="11.25" customHeight="1">
      <c r="A788" s="3"/>
      <c r="B788" s="2"/>
      <c r="C788" s="3"/>
      <c r="D788" s="3"/>
      <c r="E788" s="3"/>
      <c r="F788" s="4"/>
      <c r="G788" s="4"/>
      <c r="H788" s="4"/>
      <c r="I788" s="5"/>
      <c r="J788" s="4"/>
      <c r="K788" s="4"/>
      <c r="L788" s="6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3"/>
      <c r="AL788" s="3"/>
      <c r="AM788" s="3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8"/>
      <c r="BU788" s="8"/>
      <c r="BV788" s="8"/>
      <c r="BW788" s="8"/>
      <c r="BX788" s="3"/>
      <c r="BY788" s="3"/>
      <c r="BZ788" s="3"/>
      <c r="CA788" s="8"/>
      <c r="CB788" s="8"/>
      <c r="CC788" s="8"/>
      <c r="CD788" s="8"/>
      <c r="CE788" s="8"/>
      <c r="CF788" s="8"/>
      <c r="CG788" s="9"/>
      <c r="CH788" s="8"/>
      <c r="CI788" s="8"/>
      <c r="CJ788" s="8"/>
      <c r="CK788" s="8"/>
      <c r="CL788" s="8"/>
      <c r="CM788" s="8"/>
      <c r="CN788" s="8"/>
      <c r="CO788" s="8"/>
      <c r="CP788" s="8"/>
      <c r="CQ788" s="9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8"/>
      <c r="DC788" s="8"/>
      <c r="DD788" s="8"/>
      <c r="DE788" s="8"/>
      <c r="DF788" s="9"/>
      <c r="DG788" s="9"/>
      <c r="DH788" s="10"/>
      <c r="DI788" s="9"/>
      <c r="DJ788" s="9"/>
      <c r="DK788" s="3"/>
      <c r="DL788" s="3"/>
      <c r="DM788" s="3"/>
    </row>
    <row r="789" ht="11.25" customHeight="1">
      <c r="A789" s="3"/>
      <c r="B789" s="2"/>
      <c r="C789" s="3"/>
      <c r="D789" s="3"/>
      <c r="E789" s="3"/>
      <c r="F789" s="4"/>
      <c r="G789" s="4"/>
      <c r="H789" s="4"/>
      <c r="I789" s="5"/>
      <c r="J789" s="4"/>
      <c r="K789" s="4"/>
      <c r="L789" s="6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3"/>
      <c r="AL789" s="3"/>
      <c r="AM789" s="3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8"/>
      <c r="BU789" s="8"/>
      <c r="BV789" s="8"/>
      <c r="BW789" s="8"/>
      <c r="BX789" s="3"/>
      <c r="BY789" s="3"/>
      <c r="BZ789" s="3"/>
      <c r="CA789" s="8"/>
      <c r="CB789" s="8"/>
      <c r="CC789" s="8"/>
      <c r="CD789" s="8"/>
      <c r="CE789" s="8"/>
      <c r="CF789" s="8"/>
      <c r="CG789" s="9"/>
      <c r="CH789" s="8"/>
      <c r="CI789" s="8"/>
      <c r="CJ789" s="8"/>
      <c r="CK789" s="8"/>
      <c r="CL789" s="8"/>
      <c r="CM789" s="8"/>
      <c r="CN789" s="8"/>
      <c r="CO789" s="8"/>
      <c r="CP789" s="8"/>
      <c r="CQ789" s="9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8"/>
      <c r="DC789" s="8"/>
      <c r="DD789" s="8"/>
      <c r="DE789" s="8"/>
      <c r="DF789" s="9"/>
      <c r="DG789" s="9"/>
      <c r="DH789" s="10"/>
      <c r="DI789" s="9"/>
      <c r="DJ789" s="9"/>
      <c r="DK789" s="3"/>
      <c r="DL789" s="3"/>
      <c r="DM789" s="3"/>
    </row>
    <row r="790" ht="11.25" customHeight="1">
      <c r="A790" s="3"/>
      <c r="B790" s="2"/>
      <c r="C790" s="3"/>
      <c r="D790" s="3"/>
      <c r="E790" s="3"/>
      <c r="F790" s="4"/>
      <c r="G790" s="4"/>
      <c r="H790" s="4"/>
      <c r="I790" s="5"/>
      <c r="J790" s="4"/>
      <c r="K790" s="4"/>
      <c r="L790" s="6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3"/>
      <c r="AL790" s="3"/>
      <c r="AM790" s="3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8"/>
      <c r="BU790" s="8"/>
      <c r="BV790" s="8"/>
      <c r="BW790" s="8"/>
      <c r="BX790" s="3"/>
      <c r="BY790" s="3"/>
      <c r="BZ790" s="3"/>
      <c r="CA790" s="8"/>
      <c r="CB790" s="8"/>
      <c r="CC790" s="8"/>
      <c r="CD790" s="8"/>
      <c r="CE790" s="8"/>
      <c r="CF790" s="8"/>
      <c r="CG790" s="9"/>
      <c r="CH790" s="8"/>
      <c r="CI790" s="8"/>
      <c r="CJ790" s="8"/>
      <c r="CK790" s="8"/>
      <c r="CL790" s="8"/>
      <c r="CM790" s="8"/>
      <c r="CN790" s="8"/>
      <c r="CO790" s="8"/>
      <c r="CP790" s="8"/>
      <c r="CQ790" s="9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8"/>
      <c r="DC790" s="8"/>
      <c r="DD790" s="8"/>
      <c r="DE790" s="8"/>
      <c r="DF790" s="9"/>
      <c r="DG790" s="9"/>
      <c r="DH790" s="10"/>
      <c r="DI790" s="9"/>
      <c r="DJ790" s="9"/>
      <c r="DK790" s="3"/>
      <c r="DL790" s="3"/>
      <c r="DM790" s="3"/>
    </row>
    <row r="791" ht="11.25" customHeight="1">
      <c r="A791" s="3"/>
      <c r="B791" s="2"/>
      <c r="C791" s="3"/>
      <c r="D791" s="3"/>
      <c r="E791" s="3"/>
      <c r="F791" s="4"/>
      <c r="G791" s="4"/>
      <c r="H791" s="4"/>
      <c r="I791" s="5"/>
      <c r="J791" s="4"/>
      <c r="K791" s="4"/>
      <c r="L791" s="6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3"/>
      <c r="AL791" s="3"/>
      <c r="AM791" s="3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8"/>
      <c r="BU791" s="8"/>
      <c r="BV791" s="8"/>
      <c r="BW791" s="8"/>
      <c r="BX791" s="3"/>
      <c r="BY791" s="3"/>
      <c r="BZ791" s="3"/>
      <c r="CA791" s="8"/>
      <c r="CB791" s="8"/>
      <c r="CC791" s="8"/>
      <c r="CD791" s="8"/>
      <c r="CE791" s="8"/>
      <c r="CF791" s="8"/>
      <c r="CG791" s="9"/>
      <c r="CH791" s="8"/>
      <c r="CI791" s="8"/>
      <c r="CJ791" s="8"/>
      <c r="CK791" s="8"/>
      <c r="CL791" s="8"/>
      <c r="CM791" s="8"/>
      <c r="CN791" s="8"/>
      <c r="CO791" s="8"/>
      <c r="CP791" s="8"/>
      <c r="CQ791" s="9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8"/>
      <c r="DC791" s="8"/>
      <c r="DD791" s="8"/>
      <c r="DE791" s="8"/>
      <c r="DF791" s="9"/>
      <c r="DG791" s="9"/>
      <c r="DH791" s="10"/>
      <c r="DI791" s="9"/>
      <c r="DJ791" s="9"/>
      <c r="DK791" s="3"/>
      <c r="DL791" s="3"/>
      <c r="DM791" s="3"/>
    </row>
    <row r="792" ht="11.25" customHeight="1">
      <c r="A792" s="3"/>
      <c r="B792" s="2"/>
      <c r="C792" s="3"/>
      <c r="D792" s="3"/>
      <c r="E792" s="3"/>
      <c r="F792" s="4"/>
      <c r="G792" s="4"/>
      <c r="H792" s="4"/>
      <c r="I792" s="5"/>
      <c r="J792" s="4"/>
      <c r="K792" s="4"/>
      <c r="L792" s="6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3"/>
      <c r="AL792" s="3"/>
      <c r="AM792" s="3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8"/>
      <c r="BU792" s="8"/>
      <c r="BV792" s="8"/>
      <c r="BW792" s="8"/>
      <c r="BX792" s="3"/>
      <c r="BY792" s="3"/>
      <c r="BZ792" s="3"/>
      <c r="CA792" s="8"/>
      <c r="CB792" s="8"/>
      <c r="CC792" s="8"/>
      <c r="CD792" s="8"/>
      <c r="CE792" s="8"/>
      <c r="CF792" s="8"/>
      <c r="CG792" s="9"/>
      <c r="CH792" s="8"/>
      <c r="CI792" s="8"/>
      <c r="CJ792" s="8"/>
      <c r="CK792" s="8"/>
      <c r="CL792" s="8"/>
      <c r="CM792" s="8"/>
      <c r="CN792" s="8"/>
      <c r="CO792" s="8"/>
      <c r="CP792" s="8"/>
      <c r="CQ792" s="9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8"/>
      <c r="DE792" s="8"/>
      <c r="DF792" s="9"/>
      <c r="DG792" s="9"/>
      <c r="DH792" s="10"/>
      <c r="DI792" s="9"/>
      <c r="DJ792" s="9"/>
      <c r="DK792" s="3"/>
      <c r="DL792" s="3"/>
      <c r="DM792" s="3"/>
    </row>
    <row r="793" ht="11.25" customHeight="1">
      <c r="A793" s="3"/>
      <c r="B793" s="2"/>
      <c r="C793" s="3"/>
      <c r="D793" s="3"/>
      <c r="E793" s="3"/>
      <c r="F793" s="4"/>
      <c r="G793" s="4"/>
      <c r="H793" s="4"/>
      <c r="I793" s="5"/>
      <c r="J793" s="4"/>
      <c r="K793" s="4"/>
      <c r="L793" s="6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3"/>
      <c r="AL793" s="3"/>
      <c r="AM793" s="3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8"/>
      <c r="BU793" s="8"/>
      <c r="BV793" s="8"/>
      <c r="BW793" s="8"/>
      <c r="BX793" s="3"/>
      <c r="BY793" s="3"/>
      <c r="BZ793" s="3"/>
      <c r="CA793" s="8"/>
      <c r="CB793" s="8"/>
      <c r="CC793" s="8"/>
      <c r="CD793" s="8"/>
      <c r="CE793" s="8"/>
      <c r="CF793" s="8"/>
      <c r="CG793" s="9"/>
      <c r="CH793" s="8"/>
      <c r="CI793" s="8"/>
      <c r="CJ793" s="8"/>
      <c r="CK793" s="8"/>
      <c r="CL793" s="8"/>
      <c r="CM793" s="8"/>
      <c r="CN793" s="8"/>
      <c r="CO793" s="8"/>
      <c r="CP793" s="8"/>
      <c r="CQ793" s="9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8"/>
      <c r="DE793" s="8"/>
      <c r="DF793" s="9"/>
      <c r="DG793" s="9"/>
      <c r="DH793" s="10"/>
      <c r="DI793" s="9"/>
      <c r="DJ793" s="9"/>
      <c r="DK793" s="3"/>
      <c r="DL793" s="3"/>
      <c r="DM793" s="3"/>
    </row>
    <row r="794" ht="11.25" customHeight="1">
      <c r="A794" s="3"/>
      <c r="B794" s="2"/>
      <c r="C794" s="3"/>
      <c r="D794" s="3"/>
      <c r="E794" s="3"/>
      <c r="F794" s="4"/>
      <c r="G794" s="4"/>
      <c r="H794" s="4"/>
      <c r="I794" s="5"/>
      <c r="J794" s="4"/>
      <c r="K794" s="4"/>
      <c r="L794" s="6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3"/>
      <c r="AL794" s="3"/>
      <c r="AM794" s="3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8"/>
      <c r="BU794" s="8"/>
      <c r="BV794" s="8"/>
      <c r="BW794" s="8"/>
      <c r="BX794" s="3"/>
      <c r="BY794" s="3"/>
      <c r="BZ794" s="3"/>
      <c r="CA794" s="8"/>
      <c r="CB794" s="8"/>
      <c r="CC794" s="8"/>
      <c r="CD794" s="8"/>
      <c r="CE794" s="8"/>
      <c r="CF794" s="8"/>
      <c r="CG794" s="9"/>
      <c r="CH794" s="8"/>
      <c r="CI794" s="8"/>
      <c r="CJ794" s="8"/>
      <c r="CK794" s="8"/>
      <c r="CL794" s="8"/>
      <c r="CM794" s="8"/>
      <c r="CN794" s="8"/>
      <c r="CO794" s="8"/>
      <c r="CP794" s="8"/>
      <c r="CQ794" s="9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8"/>
      <c r="DE794" s="8"/>
      <c r="DF794" s="9"/>
      <c r="DG794" s="9"/>
      <c r="DH794" s="10"/>
      <c r="DI794" s="9"/>
      <c r="DJ794" s="9"/>
      <c r="DK794" s="3"/>
      <c r="DL794" s="3"/>
      <c r="DM794" s="3"/>
    </row>
    <row r="795" ht="11.25" customHeight="1">
      <c r="A795" s="3"/>
      <c r="B795" s="2"/>
      <c r="C795" s="3"/>
      <c r="D795" s="3"/>
      <c r="E795" s="3"/>
      <c r="F795" s="4"/>
      <c r="G795" s="4"/>
      <c r="H795" s="4"/>
      <c r="I795" s="5"/>
      <c r="J795" s="4"/>
      <c r="K795" s="4"/>
      <c r="L795" s="6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3"/>
      <c r="AL795" s="3"/>
      <c r="AM795" s="3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8"/>
      <c r="BU795" s="8"/>
      <c r="BV795" s="8"/>
      <c r="BW795" s="8"/>
      <c r="BX795" s="3"/>
      <c r="BY795" s="3"/>
      <c r="BZ795" s="3"/>
      <c r="CA795" s="8"/>
      <c r="CB795" s="8"/>
      <c r="CC795" s="8"/>
      <c r="CD795" s="8"/>
      <c r="CE795" s="8"/>
      <c r="CF795" s="8"/>
      <c r="CG795" s="9"/>
      <c r="CH795" s="8"/>
      <c r="CI795" s="8"/>
      <c r="CJ795" s="8"/>
      <c r="CK795" s="8"/>
      <c r="CL795" s="8"/>
      <c r="CM795" s="8"/>
      <c r="CN795" s="8"/>
      <c r="CO795" s="8"/>
      <c r="CP795" s="8"/>
      <c r="CQ795" s="9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8"/>
      <c r="DE795" s="8"/>
      <c r="DF795" s="9"/>
      <c r="DG795" s="9"/>
      <c r="DH795" s="10"/>
      <c r="DI795" s="9"/>
      <c r="DJ795" s="9"/>
      <c r="DK795" s="3"/>
      <c r="DL795" s="3"/>
      <c r="DM795" s="3"/>
    </row>
    <row r="796" ht="11.25" customHeight="1">
      <c r="A796" s="3"/>
      <c r="B796" s="2"/>
      <c r="C796" s="3"/>
      <c r="D796" s="3"/>
      <c r="E796" s="3"/>
      <c r="F796" s="4"/>
      <c r="G796" s="4"/>
      <c r="H796" s="4"/>
      <c r="I796" s="5"/>
      <c r="J796" s="4"/>
      <c r="K796" s="4"/>
      <c r="L796" s="6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3"/>
      <c r="AL796" s="3"/>
      <c r="AM796" s="3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8"/>
      <c r="BU796" s="8"/>
      <c r="BV796" s="8"/>
      <c r="BW796" s="8"/>
      <c r="BX796" s="3"/>
      <c r="BY796" s="3"/>
      <c r="BZ796" s="3"/>
      <c r="CA796" s="8"/>
      <c r="CB796" s="8"/>
      <c r="CC796" s="8"/>
      <c r="CD796" s="8"/>
      <c r="CE796" s="8"/>
      <c r="CF796" s="8"/>
      <c r="CG796" s="9"/>
      <c r="CH796" s="8"/>
      <c r="CI796" s="8"/>
      <c r="CJ796" s="8"/>
      <c r="CK796" s="8"/>
      <c r="CL796" s="8"/>
      <c r="CM796" s="8"/>
      <c r="CN796" s="8"/>
      <c r="CO796" s="8"/>
      <c r="CP796" s="8"/>
      <c r="CQ796" s="9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8"/>
      <c r="DC796" s="8"/>
      <c r="DD796" s="8"/>
      <c r="DE796" s="8"/>
      <c r="DF796" s="9"/>
      <c r="DG796" s="9"/>
      <c r="DH796" s="10"/>
      <c r="DI796" s="9"/>
      <c r="DJ796" s="9"/>
      <c r="DK796" s="3"/>
      <c r="DL796" s="3"/>
      <c r="DM796" s="3"/>
    </row>
    <row r="797" ht="11.25" customHeight="1">
      <c r="A797" s="3"/>
      <c r="B797" s="2"/>
      <c r="C797" s="3"/>
      <c r="D797" s="3"/>
      <c r="E797" s="3"/>
      <c r="F797" s="4"/>
      <c r="G797" s="4"/>
      <c r="H797" s="4"/>
      <c r="I797" s="5"/>
      <c r="J797" s="4"/>
      <c r="K797" s="4"/>
      <c r="L797" s="6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3"/>
      <c r="AL797" s="3"/>
      <c r="AM797" s="3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8"/>
      <c r="BU797" s="8"/>
      <c r="BV797" s="8"/>
      <c r="BW797" s="8"/>
      <c r="BX797" s="3"/>
      <c r="BY797" s="3"/>
      <c r="BZ797" s="3"/>
      <c r="CA797" s="8"/>
      <c r="CB797" s="8"/>
      <c r="CC797" s="8"/>
      <c r="CD797" s="8"/>
      <c r="CE797" s="8"/>
      <c r="CF797" s="8"/>
      <c r="CG797" s="9"/>
      <c r="CH797" s="8"/>
      <c r="CI797" s="8"/>
      <c r="CJ797" s="8"/>
      <c r="CK797" s="8"/>
      <c r="CL797" s="8"/>
      <c r="CM797" s="8"/>
      <c r="CN797" s="8"/>
      <c r="CO797" s="8"/>
      <c r="CP797" s="8"/>
      <c r="CQ797" s="9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8"/>
      <c r="DC797" s="8"/>
      <c r="DD797" s="8"/>
      <c r="DE797" s="8"/>
      <c r="DF797" s="9"/>
      <c r="DG797" s="9"/>
      <c r="DH797" s="10"/>
      <c r="DI797" s="9"/>
      <c r="DJ797" s="9"/>
      <c r="DK797" s="3"/>
      <c r="DL797" s="3"/>
      <c r="DM797" s="3"/>
    </row>
    <row r="798" ht="11.25" customHeight="1">
      <c r="A798" s="3"/>
      <c r="B798" s="2"/>
      <c r="C798" s="3"/>
      <c r="D798" s="3"/>
      <c r="E798" s="3"/>
      <c r="F798" s="4"/>
      <c r="G798" s="4"/>
      <c r="H798" s="4"/>
      <c r="I798" s="5"/>
      <c r="J798" s="4"/>
      <c r="K798" s="4"/>
      <c r="L798" s="6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3"/>
      <c r="AL798" s="3"/>
      <c r="AM798" s="3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8"/>
      <c r="BU798" s="8"/>
      <c r="BV798" s="8"/>
      <c r="BW798" s="8"/>
      <c r="BX798" s="3"/>
      <c r="BY798" s="3"/>
      <c r="BZ798" s="3"/>
      <c r="CA798" s="8"/>
      <c r="CB798" s="8"/>
      <c r="CC798" s="8"/>
      <c r="CD798" s="8"/>
      <c r="CE798" s="8"/>
      <c r="CF798" s="8"/>
      <c r="CG798" s="9"/>
      <c r="CH798" s="8"/>
      <c r="CI798" s="8"/>
      <c r="CJ798" s="8"/>
      <c r="CK798" s="8"/>
      <c r="CL798" s="8"/>
      <c r="CM798" s="8"/>
      <c r="CN798" s="8"/>
      <c r="CO798" s="8"/>
      <c r="CP798" s="8"/>
      <c r="CQ798" s="9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8"/>
      <c r="DC798" s="8"/>
      <c r="DD798" s="8"/>
      <c r="DE798" s="8"/>
      <c r="DF798" s="9"/>
      <c r="DG798" s="9"/>
      <c r="DH798" s="10"/>
      <c r="DI798" s="9"/>
      <c r="DJ798" s="9"/>
      <c r="DK798" s="3"/>
      <c r="DL798" s="3"/>
      <c r="DM798" s="3"/>
    </row>
    <row r="799" ht="11.25" customHeight="1">
      <c r="A799" s="3"/>
      <c r="B799" s="2"/>
      <c r="C799" s="3"/>
      <c r="D799" s="3"/>
      <c r="E799" s="3"/>
      <c r="F799" s="4"/>
      <c r="G799" s="4"/>
      <c r="H799" s="4"/>
      <c r="I799" s="5"/>
      <c r="J799" s="4"/>
      <c r="K799" s="4"/>
      <c r="L799" s="6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3"/>
      <c r="AL799" s="3"/>
      <c r="AM799" s="3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8"/>
      <c r="BU799" s="8"/>
      <c r="BV799" s="8"/>
      <c r="BW799" s="8"/>
      <c r="BX799" s="3"/>
      <c r="BY799" s="3"/>
      <c r="BZ799" s="3"/>
      <c r="CA799" s="8"/>
      <c r="CB799" s="8"/>
      <c r="CC799" s="8"/>
      <c r="CD799" s="8"/>
      <c r="CE799" s="8"/>
      <c r="CF799" s="8"/>
      <c r="CG799" s="9"/>
      <c r="CH799" s="8"/>
      <c r="CI799" s="8"/>
      <c r="CJ799" s="8"/>
      <c r="CK799" s="8"/>
      <c r="CL799" s="8"/>
      <c r="CM799" s="8"/>
      <c r="CN799" s="8"/>
      <c r="CO799" s="8"/>
      <c r="CP799" s="8"/>
      <c r="CQ799" s="9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8"/>
      <c r="DC799" s="8"/>
      <c r="DD799" s="8"/>
      <c r="DE799" s="8"/>
      <c r="DF799" s="9"/>
      <c r="DG799" s="9"/>
      <c r="DH799" s="10"/>
      <c r="DI799" s="9"/>
      <c r="DJ799" s="9"/>
      <c r="DK799" s="3"/>
      <c r="DL799" s="3"/>
      <c r="DM799" s="3"/>
    </row>
    <row r="800" ht="11.25" customHeight="1">
      <c r="A800" s="3"/>
      <c r="B800" s="2"/>
      <c r="C800" s="3"/>
      <c r="D800" s="3"/>
      <c r="E800" s="3"/>
      <c r="F800" s="4"/>
      <c r="G800" s="4"/>
      <c r="H800" s="4"/>
      <c r="I800" s="5"/>
      <c r="J800" s="4"/>
      <c r="K800" s="4"/>
      <c r="L800" s="6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3"/>
      <c r="AL800" s="3"/>
      <c r="AM800" s="3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8"/>
      <c r="BU800" s="8"/>
      <c r="BV800" s="8"/>
      <c r="BW800" s="8"/>
      <c r="BX800" s="3"/>
      <c r="BY800" s="3"/>
      <c r="BZ800" s="3"/>
      <c r="CA800" s="8"/>
      <c r="CB800" s="8"/>
      <c r="CC800" s="8"/>
      <c r="CD800" s="8"/>
      <c r="CE800" s="8"/>
      <c r="CF800" s="8"/>
      <c r="CG800" s="9"/>
      <c r="CH800" s="8"/>
      <c r="CI800" s="8"/>
      <c r="CJ800" s="8"/>
      <c r="CK800" s="8"/>
      <c r="CL800" s="8"/>
      <c r="CM800" s="8"/>
      <c r="CN800" s="8"/>
      <c r="CO800" s="8"/>
      <c r="CP800" s="8"/>
      <c r="CQ800" s="9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8"/>
      <c r="DE800" s="8"/>
      <c r="DF800" s="9"/>
      <c r="DG800" s="9"/>
      <c r="DH800" s="10"/>
      <c r="DI800" s="9"/>
      <c r="DJ800" s="9"/>
      <c r="DK800" s="3"/>
      <c r="DL800" s="3"/>
      <c r="DM800" s="3"/>
    </row>
    <row r="801" ht="11.25" customHeight="1">
      <c r="A801" s="3"/>
      <c r="B801" s="2"/>
      <c r="C801" s="3"/>
      <c r="D801" s="3"/>
      <c r="E801" s="3"/>
      <c r="F801" s="4"/>
      <c r="G801" s="4"/>
      <c r="H801" s="4"/>
      <c r="I801" s="5"/>
      <c r="J801" s="4"/>
      <c r="K801" s="4"/>
      <c r="L801" s="6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3"/>
      <c r="AL801" s="3"/>
      <c r="AM801" s="3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8"/>
      <c r="BU801" s="8"/>
      <c r="BV801" s="8"/>
      <c r="BW801" s="8"/>
      <c r="BX801" s="3"/>
      <c r="BY801" s="3"/>
      <c r="BZ801" s="3"/>
      <c r="CA801" s="8"/>
      <c r="CB801" s="8"/>
      <c r="CC801" s="8"/>
      <c r="CD801" s="8"/>
      <c r="CE801" s="8"/>
      <c r="CF801" s="8"/>
      <c r="CG801" s="9"/>
      <c r="CH801" s="8"/>
      <c r="CI801" s="8"/>
      <c r="CJ801" s="8"/>
      <c r="CK801" s="8"/>
      <c r="CL801" s="8"/>
      <c r="CM801" s="8"/>
      <c r="CN801" s="8"/>
      <c r="CO801" s="8"/>
      <c r="CP801" s="8"/>
      <c r="CQ801" s="9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8"/>
      <c r="DE801" s="8"/>
      <c r="DF801" s="9"/>
      <c r="DG801" s="9"/>
      <c r="DH801" s="10"/>
      <c r="DI801" s="9"/>
      <c r="DJ801" s="9"/>
      <c r="DK801" s="3"/>
      <c r="DL801" s="3"/>
      <c r="DM801" s="3"/>
    </row>
    <row r="802" ht="11.25" customHeight="1">
      <c r="A802" s="3"/>
      <c r="B802" s="2"/>
      <c r="C802" s="3"/>
      <c r="D802" s="3"/>
      <c r="E802" s="3"/>
      <c r="F802" s="4"/>
      <c r="G802" s="4"/>
      <c r="H802" s="4"/>
      <c r="I802" s="5"/>
      <c r="J802" s="4"/>
      <c r="K802" s="4"/>
      <c r="L802" s="6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3"/>
      <c r="AL802" s="3"/>
      <c r="AM802" s="3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8"/>
      <c r="BU802" s="8"/>
      <c r="BV802" s="8"/>
      <c r="BW802" s="8"/>
      <c r="BX802" s="3"/>
      <c r="BY802" s="3"/>
      <c r="BZ802" s="3"/>
      <c r="CA802" s="8"/>
      <c r="CB802" s="8"/>
      <c r="CC802" s="8"/>
      <c r="CD802" s="8"/>
      <c r="CE802" s="8"/>
      <c r="CF802" s="8"/>
      <c r="CG802" s="9"/>
      <c r="CH802" s="8"/>
      <c r="CI802" s="8"/>
      <c r="CJ802" s="8"/>
      <c r="CK802" s="8"/>
      <c r="CL802" s="8"/>
      <c r="CM802" s="8"/>
      <c r="CN802" s="8"/>
      <c r="CO802" s="8"/>
      <c r="CP802" s="8"/>
      <c r="CQ802" s="9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8"/>
      <c r="DC802" s="8"/>
      <c r="DD802" s="8"/>
      <c r="DE802" s="8"/>
      <c r="DF802" s="9"/>
      <c r="DG802" s="9"/>
      <c r="DH802" s="10"/>
      <c r="DI802" s="9"/>
      <c r="DJ802" s="9"/>
      <c r="DK802" s="3"/>
      <c r="DL802" s="3"/>
      <c r="DM802" s="3"/>
    </row>
    <row r="803" ht="11.25" customHeight="1">
      <c r="A803" s="3"/>
      <c r="B803" s="2"/>
      <c r="C803" s="3"/>
      <c r="D803" s="3"/>
      <c r="E803" s="3"/>
      <c r="F803" s="4"/>
      <c r="G803" s="4"/>
      <c r="H803" s="4"/>
      <c r="I803" s="5"/>
      <c r="J803" s="4"/>
      <c r="K803" s="4"/>
      <c r="L803" s="6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3"/>
      <c r="AL803" s="3"/>
      <c r="AM803" s="3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8"/>
      <c r="BU803" s="8"/>
      <c r="BV803" s="8"/>
      <c r="BW803" s="8"/>
      <c r="BX803" s="3"/>
      <c r="BY803" s="3"/>
      <c r="BZ803" s="3"/>
      <c r="CA803" s="8"/>
      <c r="CB803" s="8"/>
      <c r="CC803" s="8"/>
      <c r="CD803" s="8"/>
      <c r="CE803" s="8"/>
      <c r="CF803" s="8"/>
      <c r="CG803" s="9"/>
      <c r="CH803" s="8"/>
      <c r="CI803" s="8"/>
      <c r="CJ803" s="8"/>
      <c r="CK803" s="8"/>
      <c r="CL803" s="8"/>
      <c r="CM803" s="8"/>
      <c r="CN803" s="8"/>
      <c r="CO803" s="8"/>
      <c r="CP803" s="8"/>
      <c r="CQ803" s="9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8"/>
      <c r="DC803" s="8"/>
      <c r="DD803" s="8"/>
      <c r="DE803" s="8"/>
      <c r="DF803" s="9"/>
      <c r="DG803" s="9"/>
      <c r="DH803" s="10"/>
      <c r="DI803" s="9"/>
      <c r="DJ803" s="9"/>
      <c r="DK803" s="3"/>
      <c r="DL803" s="3"/>
      <c r="DM803" s="3"/>
    </row>
    <row r="804" ht="11.25" customHeight="1">
      <c r="A804" s="3"/>
      <c r="B804" s="2"/>
      <c r="C804" s="3"/>
      <c r="D804" s="3"/>
      <c r="E804" s="3"/>
      <c r="F804" s="4"/>
      <c r="G804" s="4"/>
      <c r="H804" s="4"/>
      <c r="I804" s="5"/>
      <c r="J804" s="4"/>
      <c r="K804" s="4"/>
      <c r="L804" s="6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3"/>
      <c r="AL804" s="3"/>
      <c r="AM804" s="3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8"/>
      <c r="BU804" s="8"/>
      <c r="BV804" s="8"/>
      <c r="BW804" s="8"/>
      <c r="BX804" s="3"/>
      <c r="BY804" s="3"/>
      <c r="BZ804" s="3"/>
      <c r="CA804" s="8"/>
      <c r="CB804" s="8"/>
      <c r="CC804" s="8"/>
      <c r="CD804" s="8"/>
      <c r="CE804" s="8"/>
      <c r="CF804" s="8"/>
      <c r="CG804" s="9"/>
      <c r="CH804" s="8"/>
      <c r="CI804" s="8"/>
      <c r="CJ804" s="8"/>
      <c r="CK804" s="8"/>
      <c r="CL804" s="8"/>
      <c r="CM804" s="8"/>
      <c r="CN804" s="8"/>
      <c r="CO804" s="8"/>
      <c r="CP804" s="8"/>
      <c r="CQ804" s="9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8"/>
      <c r="DC804" s="8"/>
      <c r="DD804" s="8"/>
      <c r="DE804" s="8"/>
      <c r="DF804" s="9"/>
      <c r="DG804" s="9"/>
      <c r="DH804" s="10"/>
      <c r="DI804" s="9"/>
      <c r="DJ804" s="9"/>
      <c r="DK804" s="3"/>
      <c r="DL804" s="3"/>
      <c r="DM804" s="3"/>
    </row>
    <row r="805" ht="11.25" customHeight="1">
      <c r="A805" s="3"/>
      <c r="B805" s="2"/>
      <c r="C805" s="3"/>
      <c r="D805" s="3"/>
      <c r="E805" s="3"/>
      <c r="F805" s="4"/>
      <c r="G805" s="4"/>
      <c r="H805" s="4"/>
      <c r="I805" s="5"/>
      <c r="J805" s="4"/>
      <c r="K805" s="4"/>
      <c r="L805" s="6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3"/>
      <c r="AL805" s="3"/>
      <c r="AM805" s="3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8"/>
      <c r="BU805" s="8"/>
      <c r="BV805" s="8"/>
      <c r="BW805" s="8"/>
      <c r="BX805" s="3"/>
      <c r="BY805" s="3"/>
      <c r="BZ805" s="3"/>
      <c r="CA805" s="8"/>
      <c r="CB805" s="8"/>
      <c r="CC805" s="8"/>
      <c r="CD805" s="8"/>
      <c r="CE805" s="8"/>
      <c r="CF805" s="8"/>
      <c r="CG805" s="9"/>
      <c r="CH805" s="8"/>
      <c r="CI805" s="8"/>
      <c r="CJ805" s="8"/>
      <c r="CK805" s="8"/>
      <c r="CL805" s="8"/>
      <c r="CM805" s="8"/>
      <c r="CN805" s="8"/>
      <c r="CO805" s="8"/>
      <c r="CP805" s="8"/>
      <c r="CQ805" s="9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8"/>
      <c r="DC805" s="8"/>
      <c r="DD805" s="8"/>
      <c r="DE805" s="8"/>
      <c r="DF805" s="9"/>
      <c r="DG805" s="9"/>
      <c r="DH805" s="10"/>
      <c r="DI805" s="9"/>
      <c r="DJ805" s="9"/>
      <c r="DK805" s="3"/>
      <c r="DL805" s="3"/>
      <c r="DM805" s="3"/>
    </row>
    <row r="806" ht="11.25" customHeight="1">
      <c r="A806" s="3"/>
      <c r="B806" s="2"/>
      <c r="C806" s="3"/>
      <c r="D806" s="3"/>
      <c r="E806" s="3"/>
      <c r="F806" s="4"/>
      <c r="G806" s="4"/>
      <c r="H806" s="4"/>
      <c r="I806" s="5"/>
      <c r="J806" s="4"/>
      <c r="K806" s="4"/>
      <c r="L806" s="6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3"/>
      <c r="AL806" s="3"/>
      <c r="AM806" s="3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8"/>
      <c r="BU806" s="8"/>
      <c r="BV806" s="8"/>
      <c r="BW806" s="8"/>
      <c r="BX806" s="3"/>
      <c r="BY806" s="3"/>
      <c r="BZ806" s="3"/>
      <c r="CA806" s="8"/>
      <c r="CB806" s="8"/>
      <c r="CC806" s="8"/>
      <c r="CD806" s="8"/>
      <c r="CE806" s="8"/>
      <c r="CF806" s="8"/>
      <c r="CG806" s="9"/>
      <c r="CH806" s="8"/>
      <c r="CI806" s="8"/>
      <c r="CJ806" s="8"/>
      <c r="CK806" s="8"/>
      <c r="CL806" s="8"/>
      <c r="CM806" s="8"/>
      <c r="CN806" s="8"/>
      <c r="CO806" s="8"/>
      <c r="CP806" s="8"/>
      <c r="CQ806" s="9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8"/>
      <c r="DC806" s="8"/>
      <c r="DD806" s="8"/>
      <c r="DE806" s="8"/>
      <c r="DF806" s="9"/>
      <c r="DG806" s="9"/>
      <c r="DH806" s="10"/>
      <c r="DI806" s="9"/>
      <c r="DJ806" s="9"/>
      <c r="DK806" s="3"/>
      <c r="DL806" s="3"/>
      <c r="DM806" s="3"/>
    </row>
    <row r="807" ht="11.25" customHeight="1">
      <c r="A807" s="3"/>
      <c r="B807" s="2"/>
      <c r="C807" s="3"/>
      <c r="D807" s="3"/>
      <c r="E807" s="3"/>
      <c r="F807" s="4"/>
      <c r="G807" s="4"/>
      <c r="H807" s="4"/>
      <c r="I807" s="5"/>
      <c r="J807" s="4"/>
      <c r="K807" s="4"/>
      <c r="L807" s="6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3"/>
      <c r="AL807" s="3"/>
      <c r="AM807" s="3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8"/>
      <c r="BU807" s="8"/>
      <c r="BV807" s="8"/>
      <c r="BW807" s="8"/>
      <c r="BX807" s="3"/>
      <c r="BY807" s="3"/>
      <c r="BZ807" s="3"/>
      <c r="CA807" s="8"/>
      <c r="CB807" s="8"/>
      <c r="CC807" s="8"/>
      <c r="CD807" s="8"/>
      <c r="CE807" s="8"/>
      <c r="CF807" s="8"/>
      <c r="CG807" s="9"/>
      <c r="CH807" s="8"/>
      <c r="CI807" s="8"/>
      <c r="CJ807" s="8"/>
      <c r="CK807" s="8"/>
      <c r="CL807" s="8"/>
      <c r="CM807" s="8"/>
      <c r="CN807" s="8"/>
      <c r="CO807" s="8"/>
      <c r="CP807" s="8"/>
      <c r="CQ807" s="9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8"/>
      <c r="DC807" s="8"/>
      <c r="DD807" s="8"/>
      <c r="DE807" s="8"/>
      <c r="DF807" s="9"/>
      <c r="DG807" s="9"/>
      <c r="DH807" s="10"/>
      <c r="DI807" s="9"/>
      <c r="DJ807" s="9"/>
      <c r="DK807" s="3"/>
      <c r="DL807" s="3"/>
      <c r="DM807" s="3"/>
    </row>
    <row r="808" ht="11.25" customHeight="1">
      <c r="A808" s="3"/>
      <c r="B808" s="2"/>
      <c r="C808" s="3"/>
      <c r="D808" s="3"/>
      <c r="E808" s="3"/>
      <c r="F808" s="4"/>
      <c r="G808" s="4"/>
      <c r="H808" s="4"/>
      <c r="I808" s="5"/>
      <c r="J808" s="4"/>
      <c r="K808" s="4"/>
      <c r="L808" s="6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3"/>
      <c r="AL808" s="3"/>
      <c r="AM808" s="3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8"/>
      <c r="BU808" s="8"/>
      <c r="BV808" s="8"/>
      <c r="BW808" s="8"/>
      <c r="BX808" s="3"/>
      <c r="BY808" s="3"/>
      <c r="BZ808" s="3"/>
      <c r="CA808" s="8"/>
      <c r="CB808" s="8"/>
      <c r="CC808" s="8"/>
      <c r="CD808" s="8"/>
      <c r="CE808" s="8"/>
      <c r="CF808" s="8"/>
      <c r="CG808" s="9"/>
      <c r="CH808" s="8"/>
      <c r="CI808" s="8"/>
      <c r="CJ808" s="8"/>
      <c r="CK808" s="8"/>
      <c r="CL808" s="8"/>
      <c r="CM808" s="8"/>
      <c r="CN808" s="8"/>
      <c r="CO808" s="8"/>
      <c r="CP808" s="8"/>
      <c r="CQ808" s="9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8"/>
      <c r="DC808" s="8"/>
      <c r="DD808" s="8"/>
      <c r="DE808" s="8"/>
      <c r="DF808" s="9"/>
      <c r="DG808" s="9"/>
      <c r="DH808" s="10"/>
      <c r="DI808" s="9"/>
      <c r="DJ808" s="9"/>
      <c r="DK808" s="3"/>
      <c r="DL808" s="3"/>
      <c r="DM808" s="3"/>
    </row>
    <row r="809" ht="11.25" customHeight="1">
      <c r="A809" s="3"/>
      <c r="B809" s="2"/>
      <c r="C809" s="3"/>
      <c r="D809" s="3"/>
      <c r="E809" s="3"/>
      <c r="F809" s="4"/>
      <c r="G809" s="4"/>
      <c r="H809" s="4"/>
      <c r="I809" s="5"/>
      <c r="J809" s="4"/>
      <c r="K809" s="4"/>
      <c r="L809" s="6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3"/>
      <c r="AL809" s="3"/>
      <c r="AM809" s="3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8"/>
      <c r="BU809" s="8"/>
      <c r="BV809" s="8"/>
      <c r="BW809" s="8"/>
      <c r="BX809" s="3"/>
      <c r="BY809" s="3"/>
      <c r="BZ809" s="3"/>
      <c r="CA809" s="8"/>
      <c r="CB809" s="8"/>
      <c r="CC809" s="8"/>
      <c r="CD809" s="8"/>
      <c r="CE809" s="8"/>
      <c r="CF809" s="8"/>
      <c r="CG809" s="9"/>
      <c r="CH809" s="8"/>
      <c r="CI809" s="8"/>
      <c r="CJ809" s="8"/>
      <c r="CK809" s="8"/>
      <c r="CL809" s="8"/>
      <c r="CM809" s="8"/>
      <c r="CN809" s="8"/>
      <c r="CO809" s="8"/>
      <c r="CP809" s="8"/>
      <c r="CQ809" s="9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8"/>
      <c r="DC809" s="8"/>
      <c r="DD809" s="8"/>
      <c r="DE809" s="8"/>
      <c r="DF809" s="9"/>
      <c r="DG809" s="9"/>
      <c r="DH809" s="10"/>
      <c r="DI809" s="9"/>
      <c r="DJ809" s="9"/>
      <c r="DK809" s="3"/>
      <c r="DL809" s="3"/>
      <c r="DM809" s="3"/>
    </row>
    <row r="810" ht="11.25" customHeight="1">
      <c r="A810" s="3"/>
      <c r="B810" s="2"/>
      <c r="C810" s="3"/>
      <c r="D810" s="3"/>
      <c r="E810" s="3"/>
      <c r="F810" s="4"/>
      <c r="G810" s="4"/>
      <c r="H810" s="4"/>
      <c r="I810" s="5"/>
      <c r="J810" s="4"/>
      <c r="K810" s="4"/>
      <c r="L810" s="6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3"/>
      <c r="AL810" s="3"/>
      <c r="AM810" s="3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8"/>
      <c r="BU810" s="8"/>
      <c r="BV810" s="8"/>
      <c r="BW810" s="8"/>
      <c r="BX810" s="3"/>
      <c r="BY810" s="3"/>
      <c r="BZ810" s="3"/>
      <c r="CA810" s="8"/>
      <c r="CB810" s="8"/>
      <c r="CC810" s="8"/>
      <c r="CD810" s="8"/>
      <c r="CE810" s="8"/>
      <c r="CF810" s="8"/>
      <c r="CG810" s="9"/>
      <c r="CH810" s="8"/>
      <c r="CI810" s="8"/>
      <c r="CJ810" s="8"/>
      <c r="CK810" s="8"/>
      <c r="CL810" s="8"/>
      <c r="CM810" s="8"/>
      <c r="CN810" s="8"/>
      <c r="CO810" s="8"/>
      <c r="CP810" s="8"/>
      <c r="CQ810" s="9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8"/>
      <c r="DC810" s="8"/>
      <c r="DD810" s="8"/>
      <c r="DE810" s="8"/>
      <c r="DF810" s="9"/>
      <c r="DG810" s="9"/>
      <c r="DH810" s="10"/>
      <c r="DI810" s="9"/>
      <c r="DJ810" s="9"/>
      <c r="DK810" s="3"/>
      <c r="DL810" s="3"/>
      <c r="DM810" s="3"/>
    </row>
    <row r="811" ht="11.25" customHeight="1">
      <c r="A811" s="3"/>
      <c r="B811" s="2"/>
      <c r="C811" s="3"/>
      <c r="D811" s="3"/>
      <c r="E811" s="3"/>
      <c r="F811" s="4"/>
      <c r="G811" s="4"/>
      <c r="H811" s="4"/>
      <c r="I811" s="5"/>
      <c r="J811" s="4"/>
      <c r="K811" s="4"/>
      <c r="L811" s="6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3"/>
      <c r="AL811" s="3"/>
      <c r="AM811" s="3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8"/>
      <c r="BU811" s="8"/>
      <c r="BV811" s="8"/>
      <c r="BW811" s="8"/>
      <c r="BX811" s="3"/>
      <c r="BY811" s="3"/>
      <c r="BZ811" s="3"/>
      <c r="CA811" s="8"/>
      <c r="CB811" s="8"/>
      <c r="CC811" s="8"/>
      <c r="CD811" s="8"/>
      <c r="CE811" s="8"/>
      <c r="CF811" s="8"/>
      <c r="CG811" s="9"/>
      <c r="CH811" s="8"/>
      <c r="CI811" s="8"/>
      <c r="CJ811" s="8"/>
      <c r="CK811" s="8"/>
      <c r="CL811" s="8"/>
      <c r="CM811" s="8"/>
      <c r="CN811" s="8"/>
      <c r="CO811" s="8"/>
      <c r="CP811" s="8"/>
      <c r="CQ811" s="9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8"/>
      <c r="DC811" s="8"/>
      <c r="DD811" s="8"/>
      <c r="DE811" s="8"/>
      <c r="DF811" s="9"/>
      <c r="DG811" s="9"/>
      <c r="DH811" s="10"/>
      <c r="DI811" s="9"/>
      <c r="DJ811" s="9"/>
      <c r="DK811" s="3"/>
      <c r="DL811" s="3"/>
      <c r="DM811" s="3"/>
    </row>
    <row r="812" ht="11.25" customHeight="1">
      <c r="A812" s="3"/>
      <c r="B812" s="2"/>
      <c r="C812" s="3"/>
      <c r="D812" s="3"/>
      <c r="E812" s="3"/>
      <c r="F812" s="4"/>
      <c r="G812" s="4"/>
      <c r="H812" s="4"/>
      <c r="I812" s="5"/>
      <c r="J812" s="4"/>
      <c r="K812" s="4"/>
      <c r="L812" s="6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3"/>
      <c r="AL812" s="3"/>
      <c r="AM812" s="3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8"/>
      <c r="BU812" s="8"/>
      <c r="BV812" s="8"/>
      <c r="BW812" s="8"/>
      <c r="BX812" s="3"/>
      <c r="BY812" s="3"/>
      <c r="BZ812" s="3"/>
      <c r="CA812" s="8"/>
      <c r="CB812" s="8"/>
      <c r="CC812" s="8"/>
      <c r="CD812" s="8"/>
      <c r="CE812" s="8"/>
      <c r="CF812" s="8"/>
      <c r="CG812" s="9"/>
      <c r="CH812" s="8"/>
      <c r="CI812" s="8"/>
      <c r="CJ812" s="8"/>
      <c r="CK812" s="8"/>
      <c r="CL812" s="8"/>
      <c r="CM812" s="8"/>
      <c r="CN812" s="8"/>
      <c r="CO812" s="8"/>
      <c r="CP812" s="8"/>
      <c r="CQ812" s="9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8"/>
      <c r="DC812" s="8"/>
      <c r="DD812" s="8"/>
      <c r="DE812" s="8"/>
      <c r="DF812" s="9"/>
      <c r="DG812" s="9"/>
      <c r="DH812" s="10"/>
      <c r="DI812" s="9"/>
      <c r="DJ812" s="9"/>
      <c r="DK812" s="3"/>
      <c r="DL812" s="3"/>
      <c r="DM812" s="3"/>
    </row>
    <row r="813" ht="11.25" customHeight="1">
      <c r="A813" s="3"/>
      <c r="B813" s="2"/>
      <c r="C813" s="3"/>
      <c r="D813" s="3"/>
      <c r="E813" s="3"/>
      <c r="F813" s="4"/>
      <c r="G813" s="4"/>
      <c r="H813" s="4"/>
      <c r="I813" s="5"/>
      <c r="J813" s="4"/>
      <c r="K813" s="4"/>
      <c r="L813" s="6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3"/>
      <c r="AL813" s="3"/>
      <c r="AM813" s="3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8"/>
      <c r="BU813" s="8"/>
      <c r="BV813" s="8"/>
      <c r="BW813" s="8"/>
      <c r="BX813" s="3"/>
      <c r="BY813" s="3"/>
      <c r="BZ813" s="3"/>
      <c r="CA813" s="8"/>
      <c r="CB813" s="8"/>
      <c r="CC813" s="8"/>
      <c r="CD813" s="8"/>
      <c r="CE813" s="8"/>
      <c r="CF813" s="8"/>
      <c r="CG813" s="9"/>
      <c r="CH813" s="8"/>
      <c r="CI813" s="8"/>
      <c r="CJ813" s="8"/>
      <c r="CK813" s="8"/>
      <c r="CL813" s="8"/>
      <c r="CM813" s="8"/>
      <c r="CN813" s="8"/>
      <c r="CO813" s="8"/>
      <c r="CP813" s="8"/>
      <c r="CQ813" s="9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8"/>
      <c r="DC813" s="8"/>
      <c r="DD813" s="8"/>
      <c r="DE813" s="8"/>
      <c r="DF813" s="9"/>
      <c r="DG813" s="9"/>
      <c r="DH813" s="10"/>
      <c r="DI813" s="9"/>
      <c r="DJ813" s="9"/>
      <c r="DK813" s="3"/>
      <c r="DL813" s="3"/>
      <c r="DM813" s="3"/>
    </row>
    <row r="814" ht="11.25" customHeight="1">
      <c r="A814" s="3"/>
      <c r="B814" s="2"/>
      <c r="C814" s="3"/>
      <c r="D814" s="3"/>
      <c r="E814" s="3"/>
      <c r="F814" s="4"/>
      <c r="G814" s="4"/>
      <c r="H814" s="4"/>
      <c r="I814" s="5"/>
      <c r="J814" s="4"/>
      <c r="K814" s="4"/>
      <c r="L814" s="6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3"/>
      <c r="AL814" s="3"/>
      <c r="AM814" s="3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8"/>
      <c r="BU814" s="8"/>
      <c r="BV814" s="8"/>
      <c r="BW814" s="8"/>
      <c r="BX814" s="3"/>
      <c r="BY814" s="3"/>
      <c r="BZ814" s="3"/>
      <c r="CA814" s="8"/>
      <c r="CB814" s="8"/>
      <c r="CC814" s="8"/>
      <c r="CD814" s="8"/>
      <c r="CE814" s="8"/>
      <c r="CF814" s="8"/>
      <c r="CG814" s="9"/>
      <c r="CH814" s="8"/>
      <c r="CI814" s="8"/>
      <c r="CJ814" s="8"/>
      <c r="CK814" s="8"/>
      <c r="CL814" s="8"/>
      <c r="CM814" s="8"/>
      <c r="CN814" s="8"/>
      <c r="CO814" s="8"/>
      <c r="CP814" s="8"/>
      <c r="CQ814" s="9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8"/>
      <c r="DC814" s="8"/>
      <c r="DD814" s="8"/>
      <c r="DE814" s="8"/>
      <c r="DF814" s="9"/>
      <c r="DG814" s="9"/>
      <c r="DH814" s="10"/>
      <c r="DI814" s="9"/>
      <c r="DJ814" s="9"/>
      <c r="DK814" s="3"/>
      <c r="DL814" s="3"/>
      <c r="DM814" s="3"/>
    </row>
    <row r="815" ht="11.25" customHeight="1">
      <c r="A815" s="3"/>
      <c r="B815" s="2"/>
      <c r="C815" s="3"/>
      <c r="D815" s="3"/>
      <c r="E815" s="3"/>
      <c r="F815" s="4"/>
      <c r="G815" s="4"/>
      <c r="H815" s="4"/>
      <c r="I815" s="5"/>
      <c r="J815" s="4"/>
      <c r="K815" s="4"/>
      <c r="L815" s="6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3"/>
      <c r="AL815" s="3"/>
      <c r="AM815" s="3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8"/>
      <c r="BU815" s="8"/>
      <c r="BV815" s="8"/>
      <c r="BW815" s="8"/>
      <c r="BX815" s="3"/>
      <c r="BY815" s="3"/>
      <c r="BZ815" s="3"/>
      <c r="CA815" s="8"/>
      <c r="CB815" s="8"/>
      <c r="CC815" s="8"/>
      <c r="CD815" s="8"/>
      <c r="CE815" s="8"/>
      <c r="CF815" s="8"/>
      <c r="CG815" s="9"/>
      <c r="CH815" s="8"/>
      <c r="CI815" s="8"/>
      <c r="CJ815" s="8"/>
      <c r="CK815" s="8"/>
      <c r="CL815" s="8"/>
      <c r="CM815" s="8"/>
      <c r="CN815" s="8"/>
      <c r="CO815" s="8"/>
      <c r="CP815" s="8"/>
      <c r="CQ815" s="9"/>
      <c r="CR815" s="8"/>
      <c r="CS815" s="8"/>
      <c r="CT815" s="8"/>
      <c r="CU815" s="8"/>
      <c r="CV815" s="8"/>
      <c r="CW815" s="8"/>
      <c r="CX815" s="8"/>
      <c r="CY815" s="8"/>
      <c r="CZ815" s="8"/>
      <c r="DA815" s="8"/>
      <c r="DB815" s="8"/>
      <c r="DC815" s="8"/>
      <c r="DD815" s="8"/>
      <c r="DE815" s="8"/>
      <c r="DF815" s="9"/>
      <c r="DG815" s="9"/>
      <c r="DH815" s="10"/>
      <c r="DI815" s="9"/>
      <c r="DJ815" s="9"/>
      <c r="DK815" s="3"/>
      <c r="DL815" s="3"/>
      <c r="DM815" s="3"/>
    </row>
    <row r="816" ht="11.25" customHeight="1">
      <c r="A816" s="3"/>
      <c r="B816" s="2"/>
      <c r="C816" s="3"/>
      <c r="D816" s="3"/>
      <c r="E816" s="3"/>
      <c r="F816" s="4"/>
      <c r="G816" s="4"/>
      <c r="H816" s="4"/>
      <c r="I816" s="5"/>
      <c r="J816" s="4"/>
      <c r="K816" s="4"/>
      <c r="L816" s="6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3"/>
      <c r="AL816" s="3"/>
      <c r="AM816" s="3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8"/>
      <c r="BU816" s="8"/>
      <c r="BV816" s="8"/>
      <c r="BW816" s="8"/>
      <c r="BX816" s="3"/>
      <c r="BY816" s="3"/>
      <c r="BZ816" s="3"/>
      <c r="CA816" s="8"/>
      <c r="CB816" s="8"/>
      <c r="CC816" s="8"/>
      <c r="CD816" s="8"/>
      <c r="CE816" s="8"/>
      <c r="CF816" s="8"/>
      <c r="CG816" s="9"/>
      <c r="CH816" s="8"/>
      <c r="CI816" s="8"/>
      <c r="CJ816" s="8"/>
      <c r="CK816" s="8"/>
      <c r="CL816" s="8"/>
      <c r="CM816" s="8"/>
      <c r="CN816" s="8"/>
      <c r="CO816" s="8"/>
      <c r="CP816" s="8"/>
      <c r="CQ816" s="9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8"/>
      <c r="DC816" s="8"/>
      <c r="DD816" s="8"/>
      <c r="DE816" s="8"/>
      <c r="DF816" s="9"/>
      <c r="DG816" s="9"/>
      <c r="DH816" s="10"/>
      <c r="DI816" s="9"/>
      <c r="DJ816" s="9"/>
      <c r="DK816" s="3"/>
      <c r="DL816" s="3"/>
      <c r="DM816" s="3"/>
    </row>
    <row r="817" ht="11.25" customHeight="1">
      <c r="A817" s="3"/>
      <c r="B817" s="2"/>
      <c r="C817" s="3"/>
      <c r="D817" s="3"/>
      <c r="E817" s="3"/>
      <c r="F817" s="4"/>
      <c r="G817" s="4"/>
      <c r="H817" s="4"/>
      <c r="I817" s="5"/>
      <c r="J817" s="4"/>
      <c r="K817" s="4"/>
      <c r="L817" s="6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3"/>
      <c r="AL817" s="3"/>
      <c r="AM817" s="3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8"/>
      <c r="BU817" s="8"/>
      <c r="BV817" s="8"/>
      <c r="BW817" s="8"/>
      <c r="BX817" s="3"/>
      <c r="BY817" s="3"/>
      <c r="BZ817" s="3"/>
      <c r="CA817" s="8"/>
      <c r="CB817" s="8"/>
      <c r="CC817" s="8"/>
      <c r="CD817" s="8"/>
      <c r="CE817" s="8"/>
      <c r="CF817" s="8"/>
      <c r="CG817" s="9"/>
      <c r="CH817" s="8"/>
      <c r="CI817" s="8"/>
      <c r="CJ817" s="8"/>
      <c r="CK817" s="8"/>
      <c r="CL817" s="8"/>
      <c r="CM817" s="8"/>
      <c r="CN817" s="8"/>
      <c r="CO817" s="8"/>
      <c r="CP817" s="8"/>
      <c r="CQ817" s="9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8"/>
      <c r="DC817" s="8"/>
      <c r="DD817" s="8"/>
      <c r="DE817" s="8"/>
      <c r="DF817" s="9"/>
      <c r="DG817" s="9"/>
      <c r="DH817" s="10"/>
      <c r="DI817" s="9"/>
      <c r="DJ817" s="9"/>
      <c r="DK817" s="3"/>
      <c r="DL817" s="3"/>
      <c r="DM817" s="3"/>
    </row>
    <row r="818" ht="11.25" customHeight="1">
      <c r="A818" s="3"/>
      <c r="B818" s="2"/>
      <c r="C818" s="3"/>
      <c r="D818" s="3"/>
      <c r="E818" s="3"/>
      <c r="F818" s="4"/>
      <c r="G818" s="4"/>
      <c r="H818" s="4"/>
      <c r="I818" s="5"/>
      <c r="J818" s="4"/>
      <c r="K818" s="4"/>
      <c r="L818" s="6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3"/>
      <c r="AL818" s="3"/>
      <c r="AM818" s="3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8"/>
      <c r="BU818" s="8"/>
      <c r="BV818" s="8"/>
      <c r="BW818" s="8"/>
      <c r="BX818" s="3"/>
      <c r="BY818" s="3"/>
      <c r="BZ818" s="3"/>
      <c r="CA818" s="8"/>
      <c r="CB818" s="8"/>
      <c r="CC818" s="8"/>
      <c r="CD818" s="8"/>
      <c r="CE818" s="8"/>
      <c r="CF818" s="8"/>
      <c r="CG818" s="9"/>
      <c r="CH818" s="8"/>
      <c r="CI818" s="8"/>
      <c r="CJ818" s="8"/>
      <c r="CK818" s="8"/>
      <c r="CL818" s="8"/>
      <c r="CM818" s="8"/>
      <c r="CN818" s="8"/>
      <c r="CO818" s="8"/>
      <c r="CP818" s="8"/>
      <c r="CQ818" s="9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8"/>
      <c r="DC818" s="8"/>
      <c r="DD818" s="8"/>
      <c r="DE818" s="8"/>
      <c r="DF818" s="9"/>
      <c r="DG818" s="9"/>
      <c r="DH818" s="10"/>
      <c r="DI818" s="9"/>
      <c r="DJ818" s="9"/>
      <c r="DK818" s="3"/>
      <c r="DL818" s="3"/>
      <c r="DM818" s="3"/>
    </row>
    <row r="819" ht="11.25" customHeight="1">
      <c r="A819" s="3"/>
      <c r="B819" s="2"/>
      <c r="C819" s="3"/>
      <c r="D819" s="3"/>
      <c r="E819" s="3"/>
      <c r="F819" s="4"/>
      <c r="G819" s="4"/>
      <c r="H819" s="4"/>
      <c r="I819" s="5"/>
      <c r="J819" s="4"/>
      <c r="K819" s="4"/>
      <c r="L819" s="6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3"/>
      <c r="AL819" s="3"/>
      <c r="AM819" s="3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8"/>
      <c r="BU819" s="8"/>
      <c r="BV819" s="8"/>
      <c r="BW819" s="8"/>
      <c r="BX819" s="3"/>
      <c r="BY819" s="3"/>
      <c r="BZ819" s="3"/>
      <c r="CA819" s="8"/>
      <c r="CB819" s="8"/>
      <c r="CC819" s="8"/>
      <c r="CD819" s="8"/>
      <c r="CE819" s="8"/>
      <c r="CF819" s="8"/>
      <c r="CG819" s="9"/>
      <c r="CH819" s="8"/>
      <c r="CI819" s="8"/>
      <c r="CJ819" s="8"/>
      <c r="CK819" s="8"/>
      <c r="CL819" s="8"/>
      <c r="CM819" s="8"/>
      <c r="CN819" s="8"/>
      <c r="CO819" s="8"/>
      <c r="CP819" s="8"/>
      <c r="CQ819" s="9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8"/>
      <c r="DC819" s="8"/>
      <c r="DD819" s="8"/>
      <c r="DE819" s="8"/>
      <c r="DF819" s="9"/>
      <c r="DG819" s="9"/>
      <c r="DH819" s="10"/>
      <c r="DI819" s="9"/>
      <c r="DJ819" s="9"/>
      <c r="DK819" s="3"/>
      <c r="DL819" s="3"/>
      <c r="DM819" s="3"/>
    </row>
    <row r="820" ht="11.25" customHeight="1">
      <c r="A820" s="3"/>
      <c r="B820" s="2"/>
      <c r="C820" s="3"/>
      <c r="D820" s="3"/>
      <c r="E820" s="3"/>
      <c r="F820" s="4"/>
      <c r="G820" s="4"/>
      <c r="H820" s="4"/>
      <c r="I820" s="5"/>
      <c r="J820" s="4"/>
      <c r="K820" s="4"/>
      <c r="L820" s="6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3"/>
      <c r="AL820" s="3"/>
      <c r="AM820" s="3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8"/>
      <c r="BU820" s="8"/>
      <c r="BV820" s="8"/>
      <c r="BW820" s="8"/>
      <c r="BX820" s="3"/>
      <c r="BY820" s="3"/>
      <c r="BZ820" s="3"/>
      <c r="CA820" s="8"/>
      <c r="CB820" s="8"/>
      <c r="CC820" s="8"/>
      <c r="CD820" s="8"/>
      <c r="CE820" s="8"/>
      <c r="CF820" s="8"/>
      <c r="CG820" s="9"/>
      <c r="CH820" s="8"/>
      <c r="CI820" s="8"/>
      <c r="CJ820" s="8"/>
      <c r="CK820" s="8"/>
      <c r="CL820" s="8"/>
      <c r="CM820" s="8"/>
      <c r="CN820" s="8"/>
      <c r="CO820" s="8"/>
      <c r="CP820" s="8"/>
      <c r="CQ820" s="9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8"/>
      <c r="DC820" s="8"/>
      <c r="DD820" s="8"/>
      <c r="DE820" s="8"/>
      <c r="DF820" s="9"/>
      <c r="DG820" s="9"/>
      <c r="DH820" s="10"/>
      <c r="DI820" s="9"/>
      <c r="DJ820" s="9"/>
      <c r="DK820" s="3"/>
      <c r="DL820" s="3"/>
      <c r="DM820" s="3"/>
    </row>
    <row r="821" ht="11.25" customHeight="1">
      <c r="A821" s="3"/>
      <c r="B821" s="2"/>
      <c r="C821" s="3"/>
      <c r="D821" s="3"/>
      <c r="E821" s="3"/>
      <c r="F821" s="4"/>
      <c r="G821" s="4"/>
      <c r="H821" s="4"/>
      <c r="I821" s="5"/>
      <c r="J821" s="4"/>
      <c r="K821" s="4"/>
      <c r="L821" s="6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3"/>
      <c r="AL821" s="3"/>
      <c r="AM821" s="3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8"/>
      <c r="BU821" s="8"/>
      <c r="BV821" s="8"/>
      <c r="BW821" s="8"/>
      <c r="BX821" s="3"/>
      <c r="BY821" s="3"/>
      <c r="BZ821" s="3"/>
      <c r="CA821" s="8"/>
      <c r="CB821" s="8"/>
      <c r="CC821" s="8"/>
      <c r="CD821" s="8"/>
      <c r="CE821" s="8"/>
      <c r="CF821" s="8"/>
      <c r="CG821" s="9"/>
      <c r="CH821" s="8"/>
      <c r="CI821" s="8"/>
      <c r="CJ821" s="8"/>
      <c r="CK821" s="8"/>
      <c r="CL821" s="8"/>
      <c r="CM821" s="8"/>
      <c r="CN821" s="8"/>
      <c r="CO821" s="8"/>
      <c r="CP821" s="8"/>
      <c r="CQ821" s="9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8"/>
      <c r="DC821" s="8"/>
      <c r="DD821" s="8"/>
      <c r="DE821" s="8"/>
      <c r="DF821" s="9"/>
      <c r="DG821" s="9"/>
      <c r="DH821" s="10"/>
      <c r="DI821" s="9"/>
      <c r="DJ821" s="9"/>
      <c r="DK821" s="3"/>
      <c r="DL821" s="3"/>
      <c r="DM821" s="3"/>
    </row>
    <row r="822" ht="11.25" customHeight="1">
      <c r="A822" s="3"/>
      <c r="B822" s="2"/>
      <c r="C822" s="3"/>
      <c r="D822" s="3"/>
      <c r="E822" s="3"/>
      <c r="F822" s="4"/>
      <c r="G822" s="4"/>
      <c r="H822" s="4"/>
      <c r="I822" s="5"/>
      <c r="J822" s="4"/>
      <c r="K822" s="4"/>
      <c r="L822" s="6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3"/>
      <c r="AL822" s="3"/>
      <c r="AM822" s="3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8"/>
      <c r="BU822" s="8"/>
      <c r="BV822" s="8"/>
      <c r="BW822" s="8"/>
      <c r="BX822" s="3"/>
      <c r="BY822" s="3"/>
      <c r="BZ822" s="3"/>
      <c r="CA822" s="8"/>
      <c r="CB822" s="8"/>
      <c r="CC822" s="8"/>
      <c r="CD822" s="8"/>
      <c r="CE822" s="8"/>
      <c r="CF822" s="8"/>
      <c r="CG822" s="9"/>
      <c r="CH822" s="8"/>
      <c r="CI822" s="8"/>
      <c r="CJ822" s="8"/>
      <c r="CK822" s="8"/>
      <c r="CL822" s="8"/>
      <c r="CM822" s="8"/>
      <c r="CN822" s="8"/>
      <c r="CO822" s="8"/>
      <c r="CP822" s="8"/>
      <c r="CQ822" s="9"/>
      <c r="CR822" s="8"/>
      <c r="CS822" s="8"/>
      <c r="CT822" s="8"/>
      <c r="CU822" s="8"/>
      <c r="CV822" s="8"/>
      <c r="CW822" s="8"/>
      <c r="CX822" s="8"/>
      <c r="CY822" s="8"/>
      <c r="CZ822" s="8"/>
      <c r="DA822" s="8"/>
      <c r="DB822" s="8"/>
      <c r="DC822" s="8"/>
      <c r="DD822" s="8"/>
      <c r="DE822" s="8"/>
      <c r="DF822" s="9"/>
      <c r="DG822" s="9"/>
      <c r="DH822" s="10"/>
      <c r="DI822" s="9"/>
      <c r="DJ822" s="9"/>
      <c r="DK822" s="3"/>
      <c r="DL822" s="3"/>
      <c r="DM822" s="3"/>
    </row>
    <row r="823" ht="11.25" customHeight="1">
      <c r="A823" s="3"/>
      <c r="B823" s="2"/>
      <c r="C823" s="3"/>
      <c r="D823" s="3"/>
      <c r="E823" s="3"/>
      <c r="F823" s="4"/>
      <c r="G823" s="4"/>
      <c r="H823" s="4"/>
      <c r="I823" s="5"/>
      <c r="J823" s="4"/>
      <c r="K823" s="4"/>
      <c r="L823" s="6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3"/>
      <c r="AL823" s="3"/>
      <c r="AM823" s="3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8"/>
      <c r="BU823" s="8"/>
      <c r="BV823" s="8"/>
      <c r="BW823" s="8"/>
      <c r="BX823" s="3"/>
      <c r="BY823" s="3"/>
      <c r="BZ823" s="3"/>
      <c r="CA823" s="8"/>
      <c r="CB823" s="8"/>
      <c r="CC823" s="8"/>
      <c r="CD823" s="8"/>
      <c r="CE823" s="8"/>
      <c r="CF823" s="8"/>
      <c r="CG823" s="9"/>
      <c r="CH823" s="8"/>
      <c r="CI823" s="8"/>
      <c r="CJ823" s="8"/>
      <c r="CK823" s="8"/>
      <c r="CL823" s="8"/>
      <c r="CM823" s="8"/>
      <c r="CN823" s="8"/>
      <c r="CO823" s="8"/>
      <c r="CP823" s="8"/>
      <c r="CQ823" s="9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8"/>
      <c r="DC823" s="8"/>
      <c r="DD823" s="8"/>
      <c r="DE823" s="8"/>
      <c r="DF823" s="9"/>
      <c r="DG823" s="9"/>
      <c r="DH823" s="10"/>
      <c r="DI823" s="9"/>
      <c r="DJ823" s="9"/>
      <c r="DK823" s="3"/>
      <c r="DL823" s="3"/>
      <c r="DM823" s="3"/>
    </row>
    <row r="824" ht="11.25" customHeight="1">
      <c r="A824" s="3"/>
      <c r="B824" s="2"/>
      <c r="C824" s="3"/>
      <c r="D824" s="3"/>
      <c r="E824" s="3"/>
      <c r="F824" s="4"/>
      <c r="G824" s="4"/>
      <c r="H824" s="4"/>
      <c r="I824" s="5"/>
      <c r="J824" s="4"/>
      <c r="K824" s="4"/>
      <c r="L824" s="6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3"/>
      <c r="AL824" s="3"/>
      <c r="AM824" s="3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8"/>
      <c r="BU824" s="8"/>
      <c r="BV824" s="8"/>
      <c r="BW824" s="8"/>
      <c r="BX824" s="3"/>
      <c r="BY824" s="3"/>
      <c r="BZ824" s="3"/>
      <c r="CA824" s="8"/>
      <c r="CB824" s="8"/>
      <c r="CC824" s="8"/>
      <c r="CD824" s="8"/>
      <c r="CE824" s="8"/>
      <c r="CF824" s="8"/>
      <c r="CG824" s="9"/>
      <c r="CH824" s="8"/>
      <c r="CI824" s="8"/>
      <c r="CJ824" s="8"/>
      <c r="CK824" s="8"/>
      <c r="CL824" s="8"/>
      <c r="CM824" s="8"/>
      <c r="CN824" s="8"/>
      <c r="CO824" s="8"/>
      <c r="CP824" s="8"/>
      <c r="CQ824" s="9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8"/>
      <c r="DC824" s="8"/>
      <c r="DD824" s="8"/>
      <c r="DE824" s="8"/>
      <c r="DF824" s="9"/>
      <c r="DG824" s="9"/>
      <c r="DH824" s="10"/>
      <c r="DI824" s="9"/>
      <c r="DJ824" s="9"/>
      <c r="DK824" s="3"/>
      <c r="DL824" s="3"/>
      <c r="DM824" s="3"/>
    </row>
    <row r="825" ht="11.25" customHeight="1">
      <c r="A825" s="3"/>
      <c r="B825" s="2"/>
      <c r="C825" s="3"/>
      <c r="D825" s="3"/>
      <c r="E825" s="3"/>
      <c r="F825" s="4"/>
      <c r="G825" s="4"/>
      <c r="H825" s="4"/>
      <c r="I825" s="5"/>
      <c r="J825" s="4"/>
      <c r="K825" s="4"/>
      <c r="L825" s="6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3"/>
      <c r="AL825" s="3"/>
      <c r="AM825" s="3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8"/>
      <c r="BU825" s="8"/>
      <c r="BV825" s="8"/>
      <c r="BW825" s="8"/>
      <c r="BX825" s="3"/>
      <c r="BY825" s="3"/>
      <c r="BZ825" s="3"/>
      <c r="CA825" s="8"/>
      <c r="CB825" s="8"/>
      <c r="CC825" s="8"/>
      <c r="CD825" s="8"/>
      <c r="CE825" s="8"/>
      <c r="CF825" s="8"/>
      <c r="CG825" s="9"/>
      <c r="CH825" s="8"/>
      <c r="CI825" s="8"/>
      <c r="CJ825" s="8"/>
      <c r="CK825" s="8"/>
      <c r="CL825" s="8"/>
      <c r="CM825" s="8"/>
      <c r="CN825" s="8"/>
      <c r="CO825" s="8"/>
      <c r="CP825" s="8"/>
      <c r="CQ825" s="9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8"/>
      <c r="DC825" s="8"/>
      <c r="DD825" s="8"/>
      <c r="DE825" s="8"/>
      <c r="DF825" s="9"/>
      <c r="DG825" s="9"/>
      <c r="DH825" s="10"/>
      <c r="DI825" s="9"/>
      <c r="DJ825" s="9"/>
      <c r="DK825" s="3"/>
      <c r="DL825" s="3"/>
      <c r="DM825" s="3"/>
    </row>
    <row r="826" ht="11.25" customHeight="1">
      <c r="A826" s="3"/>
      <c r="B826" s="2"/>
      <c r="C826" s="3"/>
      <c r="D826" s="3"/>
      <c r="E826" s="3"/>
      <c r="F826" s="4"/>
      <c r="G826" s="4"/>
      <c r="H826" s="4"/>
      <c r="I826" s="5"/>
      <c r="J826" s="4"/>
      <c r="K826" s="4"/>
      <c r="L826" s="6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3"/>
      <c r="AL826" s="3"/>
      <c r="AM826" s="3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8"/>
      <c r="BU826" s="8"/>
      <c r="BV826" s="8"/>
      <c r="BW826" s="8"/>
      <c r="BX826" s="3"/>
      <c r="BY826" s="3"/>
      <c r="BZ826" s="3"/>
      <c r="CA826" s="8"/>
      <c r="CB826" s="8"/>
      <c r="CC826" s="8"/>
      <c r="CD826" s="8"/>
      <c r="CE826" s="8"/>
      <c r="CF826" s="8"/>
      <c r="CG826" s="9"/>
      <c r="CH826" s="8"/>
      <c r="CI826" s="8"/>
      <c r="CJ826" s="8"/>
      <c r="CK826" s="8"/>
      <c r="CL826" s="8"/>
      <c r="CM826" s="8"/>
      <c r="CN826" s="8"/>
      <c r="CO826" s="8"/>
      <c r="CP826" s="8"/>
      <c r="CQ826" s="9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8"/>
      <c r="DC826" s="8"/>
      <c r="DD826" s="8"/>
      <c r="DE826" s="8"/>
      <c r="DF826" s="9"/>
      <c r="DG826" s="9"/>
      <c r="DH826" s="10"/>
      <c r="DI826" s="9"/>
      <c r="DJ826" s="9"/>
      <c r="DK826" s="3"/>
      <c r="DL826" s="3"/>
      <c r="DM826" s="3"/>
    </row>
    <row r="827" ht="11.25" customHeight="1">
      <c r="A827" s="3"/>
      <c r="B827" s="2"/>
      <c r="C827" s="3"/>
      <c r="D827" s="3"/>
      <c r="E827" s="3"/>
      <c r="F827" s="4"/>
      <c r="G827" s="4"/>
      <c r="H827" s="4"/>
      <c r="I827" s="5"/>
      <c r="J827" s="4"/>
      <c r="K827" s="4"/>
      <c r="L827" s="6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3"/>
      <c r="AL827" s="3"/>
      <c r="AM827" s="3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8"/>
      <c r="BU827" s="8"/>
      <c r="BV827" s="8"/>
      <c r="BW827" s="8"/>
      <c r="BX827" s="3"/>
      <c r="BY827" s="3"/>
      <c r="BZ827" s="3"/>
      <c r="CA827" s="8"/>
      <c r="CB827" s="8"/>
      <c r="CC827" s="8"/>
      <c r="CD827" s="8"/>
      <c r="CE827" s="8"/>
      <c r="CF827" s="8"/>
      <c r="CG827" s="9"/>
      <c r="CH827" s="8"/>
      <c r="CI827" s="8"/>
      <c r="CJ827" s="8"/>
      <c r="CK827" s="8"/>
      <c r="CL827" s="8"/>
      <c r="CM827" s="8"/>
      <c r="CN827" s="8"/>
      <c r="CO827" s="8"/>
      <c r="CP827" s="8"/>
      <c r="CQ827" s="9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8"/>
      <c r="DC827" s="8"/>
      <c r="DD827" s="8"/>
      <c r="DE827" s="8"/>
      <c r="DF827" s="9"/>
      <c r="DG827" s="9"/>
      <c r="DH827" s="10"/>
      <c r="DI827" s="9"/>
      <c r="DJ827" s="9"/>
      <c r="DK827" s="3"/>
      <c r="DL827" s="3"/>
      <c r="DM827" s="3"/>
    </row>
    <row r="828" ht="11.25" customHeight="1">
      <c r="A828" s="3"/>
      <c r="B828" s="2"/>
      <c r="C828" s="3"/>
      <c r="D828" s="3"/>
      <c r="E828" s="3"/>
      <c r="F828" s="4"/>
      <c r="G828" s="4"/>
      <c r="H828" s="4"/>
      <c r="I828" s="5"/>
      <c r="J828" s="4"/>
      <c r="K828" s="4"/>
      <c r="L828" s="6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3"/>
      <c r="AL828" s="3"/>
      <c r="AM828" s="3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8"/>
      <c r="BU828" s="8"/>
      <c r="BV828" s="8"/>
      <c r="BW828" s="8"/>
      <c r="BX828" s="3"/>
      <c r="BY828" s="3"/>
      <c r="BZ828" s="3"/>
      <c r="CA828" s="8"/>
      <c r="CB828" s="8"/>
      <c r="CC828" s="8"/>
      <c r="CD828" s="8"/>
      <c r="CE828" s="8"/>
      <c r="CF828" s="8"/>
      <c r="CG828" s="9"/>
      <c r="CH828" s="8"/>
      <c r="CI828" s="8"/>
      <c r="CJ828" s="8"/>
      <c r="CK828" s="8"/>
      <c r="CL828" s="8"/>
      <c r="CM828" s="8"/>
      <c r="CN828" s="8"/>
      <c r="CO828" s="8"/>
      <c r="CP828" s="8"/>
      <c r="CQ828" s="9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8"/>
      <c r="DC828" s="8"/>
      <c r="DD828" s="8"/>
      <c r="DE828" s="8"/>
      <c r="DF828" s="9"/>
      <c r="DG828" s="9"/>
      <c r="DH828" s="10"/>
      <c r="DI828" s="9"/>
      <c r="DJ828" s="9"/>
      <c r="DK828" s="3"/>
      <c r="DL828" s="3"/>
      <c r="DM828" s="3"/>
    </row>
    <row r="829" ht="11.25" customHeight="1">
      <c r="A829" s="3"/>
      <c r="B829" s="2"/>
      <c r="C829" s="3"/>
      <c r="D829" s="3"/>
      <c r="E829" s="3"/>
      <c r="F829" s="4"/>
      <c r="G829" s="4"/>
      <c r="H829" s="4"/>
      <c r="I829" s="5"/>
      <c r="J829" s="4"/>
      <c r="K829" s="4"/>
      <c r="L829" s="6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3"/>
      <c r="AL829" s="3"/>
      <c r="AM829" s="3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8"/>
      <c r="BU829" s="8"/>
      <c r="BV829" s="8"/>
      <c r="BW829" s="8"/>
      <c r="BX829" s="3"/>
      <c r="BY829" s="3"/>
      <c r="BZ829" s="3"/>
      <c r="CA829" s="8"/>
      <c r="CB829" s="8"/>
      <c r="CC829" s="8"/>
      <c r="CD829" s="8"/>
      <c r="CE829" s="8"/>
      <c r="CF829" s="8"/>
      <c r="CG829" s="9"/>
      <c r="CH829" s="8"/>
      <c r="CI829" s="8"/>
      <c r="CJ829" s="8"/>
      <c r="CK829" s="8"/>
      <c r="CL829" s="8"/>
      <c r="CM829" s="8"/>
      <c r="CN829" s="8"/>
      <c r="CO829" s="8"/>
      <c r="CP829" s="8"/>
      <c r="CQ829" s="9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8"/>
      <c r="DC829" s="8"/>
      <c r="DD829" s="8"/>
      <c r="DE829" s="8"/>
      <c r="DF829" s="9"/>
      <c r="DG829" s="9"/>
      <c r="DH829" s="10"/>
      <c r="DI829" s="9"/>
      <c r="DJ829" s="9"/>
      <c r="DK829" s="3"/>
      <c r="DL829" s="3"/>
      <c r="DM829" s="3"/>
    </row>
    <row r="830" ht="11.25" customHeight="1">
      <c r="A830" s="3"/>
      <c r="B830" s="2"/>
      <c r="C830" s="3"/>
      <c r="D830" s="3"/>
      <c r="E830" s="3"/>
      <c r="F830" s="4"/>
      <c r="G830" s="4"/>
      <c r="H830" s="4"/>
      <c r="I830" s="5"/>
      <c r="J830" s="4"/>
      <c r="K830" s="4"/>
      <c r="L830" s="6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3"/>
      <c r="AL830" s="3"/>
      <c r="AM830" s="3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8"/>
      <c r="BU830" s="8"/>
      <c r="BV830" s="8"/>
      <c r="BW830" s="8"/>
      <c r="BX830" s="3"/>
      <c r="BY830" s="3"/>
      <c r="BZ830" s="3"/>
      <c r="CA830" s="8"/>
      <c r="CB830" s="8"/>
      <c r="CC830" s="8"/>
      <c r="CD830" s="8"/>
      <c r="CE830" s="8"/>
      <c r="CF830" s="8"/>
      <c r="CG830" s="9"/>
      <c r="CH830" s="8"/>
      <c r="CI830" s="8"/>
      <c r="CJ830" s="8"/>
      <c r="CK830" s="8"/>
      <c r="CL830" s="8"/>
      <c r="CM830" s="8"/>
      <c r="CN830" s="8"/>
      <c r="CO830" s="8"/>
      <c r="CP830" s="8"/>
      <c r="CQ830" s="9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8"/>
      <c r="DC830" s="8"/>
      <c r="DD830" s="8"/>
      <c r="DE830" s="8"/>
      <c r="DF830" s="9"/>
      <c r="DG830" s="9"/>
      <c r="DH830" s="10"/>
      <c r="DI830" s="9"/>
      <c r="DJ830" s="9"/>
      <c r="DK830" s="3"/>
      <c r="DL830" s="3"/>
      <c r="DM830" s="3"/>
    </row>
    <row r="831" ht="11.25" customHeight="1">
      <c r="A831" s="3"/>
      <c r="B831" s="2"/>
      <c r="C831" s="3"/>
      <c r="D831" s="3"/>
      <c r="E831" s="3"/>
      <c r="F831" s="4"/>
      <c r="G831" s="4"/>
      <c r="H831" s="4"/>
      <c r="I831" s="5"/>
      <c r="J831" s="4"/>
      <c r="K831" s="4"/>
      <c r="L831" s="6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3"/>
      <c r="AL831" s="3"/>
      <c r="AM831" s="3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8"/>
      <c r="BU831" s="8"/>
      <c r="BV831" s="8"/>
      <c r="BW831" s="8"/>
      <c r="BX831" s="3"/>
      <c r="BY831" s="3"/>
      <c r="BZ831" s="3"/>
      <c r="CA831" s="8"/>
      <c r="CB831" s="8"/>
      <c r="CC831" s="8"/>
      <c r="CD831" s="8"/>
      <c r="CE831" s="8"/>
      <c r="CF831" s="8"/>
      <c r="CG831" s="9"/>
      <c r="CH831" s="8"/>
      <c r="CI831" s="8"/>
      <c r="CJ831" s="8"/>
      <c r="CK831" s="8"/>
      <c r="CL831" s="8"/>
      <c r="CM831" s="8"/>
      <c r="CN831" s="8"/>
      <c r="CO831" s="8"/>
      <c r="CP831" s="8"/>
      <c r="CQ831" s="9"/>
      <c r="CR831" s="8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C831" s="8"/>
      <c r="DD831" s="8"/>
      <c r="DE831" s="8"/>
      <c r="DF831" s="9"/>
      <c r="DG831" s="9"/>
      <c r="DH831" s="10"/>
      <c r="DI831" s="9"/>
      <c r="DJ831" s="9"/>
      <c r="DK831" s="3"/>
      <c r="DL831" s="3"/>
      <c r="DM831" s="3"/>
    </row>
    <row r="832" ht="11.25" customHeight="1">
      <c r="A832" s="3"/>
      <c r="B832" s="2"/>
      <c r="C832" s="3"/>
      <c r="D832" s="3"/>
      <c r="E832" s="3"/>
      <c r="F832" s="4"/>
      <c r="G832" s="4"/>
      <c r="H832" s="4"/>
      <c r="I832" s="5"/>
      <c r="J832" s="4"/>
      <c r="K832" s="4"/>
      <c r="L832" s="6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3"/>
      <c r="AL832" s="3"/>
      <c r="AM832" s="3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8"/>
      <c r="BU832" s="8"/>
      <c r="BV832" s="8"/>
      <c r="BW832" s="8"/>
      <c r="BX832" s="3"/>
      <c r="BY832" s="3"/>
      <c r="BZ832" s="3"/>
      <c r="CA832" s="8"/>
      <c r="CB832" s="8"/>
      <c r="CC832" s="8"/>
      <c r="CD832" s="8"/>
      <c r="CE832" s="8"/>
      <c r="CF832" s="8"/>
      <c r="CG832" s="9"/>
      <c r="CH832" s="8"/>
      <c r="CI832" s="8"/>
      <c r="CJ832" s="8"/>
      <c r="CK832" s="8"/>
      <c r="CL832" s="8"/>
      <c r="CM832" s="8"/>
      <c r="CN832" s="8"/>
      <c r="CO832" s="8"/>
      <c r="CP832" s="8"/>
      <c r="CQ832" s="9"/>
      <c r="CR832" s="8"/>
      <c r="CS832" s="8"/>
      <c r="CT832" s="8"/>
      <c r="CU832" s="8"/>
      <c r="CV832" s="8"/>
      <c r="CW832" s="8"/>
      <c r="CX832" s="8"/>
      <c r="CY832" s="8"/>
      <c r="CZ832" s="8"/>
      <c r="DA832" s="8"/>
      <c r="DB832" s="8"/>
      <c r="DC832" s="8"/>
      <c r="DD832" s="8"/>
      <c r="DE832" s="8"/>
      <c r="DF832" s="9"/>
      <c r="DG832" s="9"/>
      <c r="DH832" s="10"/>
      <c r="DI832" s="9"/>
      <c r="DJ832" s="9"/>
      <c r="DK832" s="3"/>
      <c r="DL832" s="3"/>
      <c r="DM832" s="3"/>
    </row>
    <row r="833" ht="11.25" customHeight="1">
      <c r="A833" s="3"/>
      <c r="B833" s="2"/>
      <c r="C833" s="3"/>
      <c r="D833" s="3"/>
      <c r="E833" s="3"/>
      <c r="F833" s="4"/>
      <c r="G833" s="4"/>
      <c r="H833" s="4"/>
      <c r="I833" s="5"/>
      <c r="J833" s="4"/>
      <c r="K833" s="4"/>
      <c r="L833" s="6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3"/>
      <c r="AL833" s="3"/>
      <c r="AM833" s="3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8"/>
      <c r="BU833" s="8"/>
      <c r="BV833" s="8"/>
      <c r="BW833" s="8"/>
      <c r="BX833" s="3"/>
      <c r="BY833" s="3"/>
      <c r="BZ833" s="3"/>
      <c r="CA833" s="8"/>
      <c r="CB833" s="8"/>
      <c r="CC833" s="8"/>
      <c r="CD833" s="8"/>
      <c r="CE833" s="8"/>
      <c r="CF833" s="8"/>
      <c r="CG833" s="9"/>
      <c r="CH833" s="8"/>
      <c r="CI833" s="8"/>
      <c r="CJ833" s="8"/>
      <c r="CK833" s="8"/>
      <c r="CL833" s="8"/>
      <c r="CM833" s="8"/>
      <c r="CN833" s="8"/>
      <c r="CO833" s="8"/>
      <c r="CP833" s="8"/>
      <c r="CQ833" s="9"/>
      <c r="CR833" s="8"/>
      <c r="CS833" s="8"/>
      <c r="CT833" s="8"/>
      <c r="CU833" s="8"/>
      <c r="CV833" s="8"/>
      <c r="CW833" s="8"/>
      <c r="CX833" s="8"/>
      <c r="CY833" s="8"/>
      <c r="CZ833" s="8"/>
      <c r="DA833" s="8"/>
      <c r="DB833" s="8"/>
      <c r="DC833" s="8"/>
      <c r="DD833" s="8"/>
      <c r="DE833" s="8"/>
      <c r="DF833" s="9"/>
      <c r="DG833" s="9"/>
      <c r="DH833" s="10"/>
      <c r="DI833" s="9"/>
      <c r="DJ833" s="9"/>
      <c r="DK833" s="3"/>
      <c r="DL833" s="3"/>
      <c r="DM833" s="3"/>
    </row>
    <row r="834" ht="11.25" customHeight="1">
      <c r="A834" s="3"/>
      <c r="B834" s="2"/>
      <c r="C834" s="3"/>
      <c r="D834" s="3"/>
      <c r="E834" s="3"/>
      <c r="F834" s="4"/>
      <c r="G834" s="4"/>
      <c r="H834" s="4"/>
      <c r="I834" s="5"/>
      <c r="J834" s="4"/>
      <c r="K834" s="4"/>
      <c r="L834" s="6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3"/>
      <c r="AL834" s="3"/>
      <c r="AM834" s="3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8"/>
      <c r="BU834" s="8"/>
      <c r="BV834" s="8"/>
      <c r="BW834" s="8"/>
      <c r="BX834" s="3"/>
      <c r="BY834" s="3"/>
      <c r="BZ834" s="3"/>
      <c r="CA834" s="8"/>
      <c r="CB834" s="8"/>
      <c r="CC834" s="8"/>
      <c r="CD834" s="8"/>
      <c r="CE834" s="8"/>
      <c r="CF834" s="8"/>
      <c r="CG834" s="9"/>
      <c r="CH834" s="8"/>
      <c r="CI834" s="8"/>
      <c r="CJ834" s="8"/>
      <c r="CK834" s="8"/>
      <c r="CL834" s="8"/>
      <c r="CM834" s="8"/>
      <c r="CN834" s="8"/>
      <c r="CO834" s="8"/>
      <c r="CP834" s="8"/>
      <c r="CQ834" s="9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8"/>
      <c r="DC834" s="8"/>
      <c r="DD834" s="8"/>
      <c r="DE834" s="8"/>
      <c r="DF834" s="9"/>
      <c r="DG834" s="9"/>
      <c r="DH834" s="10"/>
      <c r="DI834" s="9"/>
      <c r="DJ834" s="9"/>
      <c r="DK834" s="3"/>
      <c r="DL834" s="3"/>
      <c r="DM834" s="3"/>
    </row>
    <row r="835" ht="11.25" customHeight="1">
      <c r="A835" s="3"/>
      <c r="B835" s="2"/>
      <c r="C835" s="3"/>
      <c r="D835" s="3"/>
      <c r="E835" s="3"/>
      <c r="F835" s="4"/>
      <c r="G835" s="4"/>
      <c r="H835" s="4"/>
      <c r="I835" s="5"/>
      <c r="J835" s="4"/>
      <c r="K835" s="4"/>
      <c r="L835" s="6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3"/>
      <c r="AL835" s="3"/>
      <c r="AM835" s="3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8"/>
      <c r="BU835" s="8"/>
      <c r="BV835" s="8"/>
      <c r="BW835" s="8"/>
      <c r="BX835" s="3"/>
      <c r="BY835" s="3"/>
      <c r="BZ835" s="3"/>
      <c r="CA835" s="8"/>
      <c r="CB835" s="8"/>
      <c r="CC835" s="8"/>
      <c r="CD835" s="8"/>
      <c r="CE835" s="8"/>
      <c r="CF835" s="8"/>
      <c r="CG835" s="9"/>
      <c r="CH835" s="8"/>
      <c r="CI835" s="8"/>
      <c r="CJ835" s="8"/>
      <c r="CK835" s="8"/>
      <c r="CL835" s="8"/>
      <c r="CM835" s="8"/>
      <c r="CN835" s="8"/>
      <c r="CO835" s="8"/>
      <c r="CP835" s="8"/>
      <c r="CQ835" s="9"/>
      <c r="CR835" s="8"/>
      <c r="CS835" s="8"/>
      <c r="CT835" s="8"/>
      <c r="CU835" s="8"/>
      <c r="CV835" s="8"/>
      <c r="CW835" s="8"/>
      <c r="CX835" s="8"/>
      <c r="CY835" s="8"/>
      <c r="CZ835" s="8"/>
      <c r="DA835" s="8"/>
      <c r="DB835" s="8"/>
      <c r="DC835" s="8"/>
      <c r="DD835" s="8"/>
      <c r="DE835" s="8"/>
      <c r="DF835" s="9"/>
      <c r="DG835" s="9"/>
      <c r="DH835" s="10"/>
      <c r="DI835" s="9"/>
      <c r="DJ835" s="9"/>
      <c r="DK835" s="3"/>
      <c r="DL835" s="3"/>
      <c r="DM835" s="3"/>
    </row>
    <row r="836" ht="11.25" customHeight="1">
      <c r="A836" s="3"/>
      <c r="B836" s="2"/>
      <c r="C836" s="3"/>
      <c r="D836" s="3"/>
      <c r="E836" s="3"/>
      <c r="F836" s="4"/>
      <c r="G836" s="4"/>
      <c r="H836" s="4"/>
      <c r="I836" s="5"/>
      <c r="J836" s="4"/>
      <c r="K836" s="4"/>
      <c r="L836" s="6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3"/>
      <c r="AL836" s="3"/>
      <c r="AM836" s="3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8"/>
      <c r="BU836" s="8"/>
      <c r="BV836" s="8"/>
      <c r="BW836" s="8"/>
      <c r="BX836" s="3"/>
      <c r="BY836" s="3"/>
      <c r="BZ836" s="3"/>
      <c r="CA836" s="8"/>
      <c r="CB836" s="8"/>
      <c r="CC836" s="8"/>
      <c r="CD836" s="8"/>
      <c r="CE836" s="8"/>
      <c r="CF836" s="8"/>
      <c r="CG836" s="9"/>
      <c r="CH836" s="8"/>
      <c r="CI836" s="8"/>
      <c r="CJ836" s="8"/>
      <c r="CK836" s="8"/>
      <c r="CL836" s="8"/>
      <c r="CM836" s="8"/>
      <c r="CN836" s="8"/>
      <c r="CO836" s="8"/>
      <c r="CP836" s="8"/>
      <c r="CQ836" s="9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8"/>
      <c r="DC836" s="8"/>
      <c r="DD836" s="8"/>
      <c r="DE836" s="8"/>
      <c r="DF836" s="9"/>
      <c r="DG836" s="9"/>
      <c r="DH836" s="10"/>
      <c r="DI836" s="9"/>
      <c r="DJ836" s="9"/>
      <c r="DK836" s="3"/>
      <c r="DL836" s="3"/>
      <c r="DM836" s="3"/>
    </row>
    <row r="837" ht="11.25" customHeight="1">
      <c r="A837" s="3"/>
      <c r="B837" s="2"/>
      <c r="C837" s="3"/>
      <c r="D837" s="3"/>
      <c r="E837" s="3"/>
      <c r="F837" s="4"/>
      <c r="G837" s="4"/>
      <c r="H837" s="4"/>
      <c r="I837" s="5"/>
      <c r="J837" s="4"/>
      <c r="K837" s="4"/>
      <c r="L837" s="6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3"/>
      <c r="AL837" s="3"/>
      <c r="AM837" s="3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8"/>
      <c r="BU837" s="8"/>
      <c r="BV837" s="8"/>
      <c r="BW837" s="8"/>
      <c r="BX837" s="3"/>
      <c r="BY837" s="3"/>
      <c r="BZ837" s="3"/>
      <c r="CA837" s="8"/>
      <c r="CB837" s="8"/>
      <c r="CC837" s="8"/>
      <c r="CD837" s="8"/>
      <c r="CE837" s="8"/>
      <c r="CF837" s="8"/>
      <c r="CG837" s="9"/>
      <c r="CH837" s="8"/>
      <c r="CI837" s="8"/>
      <c r="CJ837" s="8"/>
      <c r="CK837" s="8"/>
      <c r="CL837" s="8"/>
      <c r="CM837" s="8"/>
      <c r="CN837" s="8"/>
      <c r="CO837" s="8"/>
      <c r="CP837" s="8"/>
      <c r="CQ837" s="9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8"/>
      <c r="DC837" s="8"/>
      <c r="DD837" s="8"/>
      <c r="DE837" s="8"/>
      <c r="DF837" s="9"/>
      <c r="DG837" s="9"/>
      <c r="DH837" s="10"/>
      <c r="DI837" s="9"/>
      <c r="DJ837" s="9"/>
      <c r="DK837" s="3"/>
      <c r="DL837" s="3"/>
      <c r="DM837" s="3"/>
    </row>
    <row r="838" ht="11.25" customHeight="1">
      <c r="A838" s="3"/>
      <c r="B838" s="2"/>
      <c r="C838" s="3"/>
      <c r="D838" s="3"/>
      <c r="E838" s="3"/>
      <c r="F838" s="4"/>
      <c r="G838" s="4"/>
      <c r="H838" s="4"/>
      <c r="I838" s="5"/>
      <c r="J838" s="4"/>
      <c r="K838" s="4"/>
      <c r="L838" s="6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3"/>
      <c r="AL838" s="3"/>
      <c r="AM838" s="3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8"/>
      <c r="BU838" s="8"/>
      <c r="BV838" s="8"/>
      <c r="BW838" s="8"/>
      <c r="BX838" s="3"/>
      <c r="BY838" s="3"/>
      <c r="BZ838" s="3"/>
      <c r="CA838" s="8"/>
      <c r="CB838" s="8"/>
      <c r="CC838" s="8"/>
      <c r="CD838" s="8"/>
      <c r="CE838" s="8"/>
      <c r="CF838" s="8"/>
      <c r="CG838" s="9"/>
      <c r="CH838" s="8"/>
      <c r="CI838" s="8"/>
      <c r="CJ838" s="8"/>
      <c r="CK838" s="8"/>
      <c r="CL838" s="8"/>
      <c r="CM838" s="8"/>
      <c r="CN838" s="8"/>
      <c r="CO838" s="8"/>
      <c r="CP838" s="8"/>
      <c r="CQ838" s="9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8"/>
      <c r="DC838" s="8"/>
      <c r="DD838" s="8"/>
      <c r="DE838" s="8"/>
      <c r="DF838" s="9"/>
      <c r="DG838" s="9"/>
      <c r="DH838" s="10"/>
      <c r="DI838" s="9"/>
      <c r="DJ838" s="9"/>
      <c r="DK838" s="3"/>
      <c r="DL838" s="3"/>
      <c r="DM838" s="3"/>
    </row>
    <row r="839" ht="11.25" customHeight="1">
      <c r="A839" s="3"/>
      <c r="B839" s="2"/>
      <c r="C839" s="3"/>
      <c r="D839" s="3"/>
      <c r="E839" s="3"/>
      <c r="F839" s="4"/>
      <c r="G839" s="4"/>
      <c r="H839" s="4"/>
      <c r="I839" s="5"/>
      <c r="J839" s="4"/>
      <c r="K839" s="4"/>
      <c r="L839" s="6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3"/>
      <c r="AL839" s="3"/>
      <c r="AM839" s="3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8"/>
      <c r="BU839" s="8"/>
      <c r="BV839" s="8"/>
      <c r="BW839" s="8"/>
      <c r="BX839" s="3"/>
      <c r="BY839" s="3"/>
      <c r="BZ839" s="3"/>
      <c r="CA839" s="8"/>
      <c r="CB839" s="8"/>
      <c r="CC839" s="8"/>
      <c r="CD839" s="8"/>
      <c r="CE839" s="8"/>
      <c r="CF839" s="8"/>
      <c r="CG839" s="9"/>
      <c r="CH839" s="8"/>
      <c r="CI839" s="8"/>
      <c r="CJ839" s="8"/>
      <c r="CK839" s="8"/>
      <c r="CL839" s="8"/>
      <c r="CM839" s="8"/>
      <c r="CN839" s="8"/>
      <c r="CO839" s="8"/>
      <c r="CP839" s="8"/>
      <c r="CQ839" s="9"/>
      <c r="CR839" s="8"/>
      <c r="CS839" s="8"/>
      <c r="CT839" s="8"/>
      <c r="CU839" s="8"/>
      <c r="CV839" s="8"/>
      <c r="CW839" s="8"/>
      <c r="CX839" s="8"/>
      <c r="CY839" s="8"/>
      <c r="CZ839" s="8"/>
      <c r="DA839" s="8"/>
      <c r="DB839" s="8"/>
      <c r="DC839" s="8"/>
      <c r="DD839" s="8"/>
      <c r="DE839" s="8"/>
      <c r="DF839" s="9"/>
      <c r="DG839" s="9"/>
      <c r="DH839" s="10"/>
      <c r="DI839" s="9"/>
      <c r="DJ839" s="9"/>
      <c r="DK839" s="3"/>
      <c r="DL839" s="3"/>
      <c r="DM839" s="3"/>
    </row>
    <row r="840" ht="11.25" customHeight="1">
      <c r="A840" s="3"/>
      <c r="B840" s="2"/>
      <c r="C840" s="3"/>
      <c r="D840" s="3"/>
      <c r="E840" s="3"/>
      <c r="F840" s="4"/>
      <c r="G840" s="4"/>
      <c r="H840" s="4"/>
      <c r="I840" s="5"/>
      <c r="J840" s="4"/>
      <c r="K840" s="4"/>
      <c r="L840" s="6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3"/>
      <c r="AL840" s="3"/>
      <c r="AM840" s="3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8"/>
      <c r="BU840" s="8"/>
      <c r="BV840" s="8"/>
      <c r="BW840" s="8"/>
      <c r="BX840" s="3"/>
      <c r="BY840" s="3"/>
      <c r="BZ840" s="3"/>
      <c r="CA840" s="8"/>
      <c r="CB840" s="8"/>
      <c r="CC840" s="8"/>
      <c r="CD840" s="8"/>
      <c r="CE840" s="8"/>
      <c r="CF840" s="8"/>
      <c r="CG840" s="9"/>
      <c r="CH840" s="8"/>
      <c r="CI840" s="8"/>
      <c r="CJ840" s="8"/>
      <c r="CK840" s="8"/>
      <c r="CL840" s="8"/>
      <c r="CM840" s="8"/>
      <c r="CN840" s="8"/>
      <c r="CO840" s="8"/>
      <c r="CP840" s="8"/>
      <c r="CQ840" s="9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8"/>
      <c r="DC840" s="8"/>
      <c r="DD840" s="8"/>
      <c r="DE840" s="8"/>
      <c r="DF840" s="9"/>
      <c r="DG840" s="9"/>
      <c r="DH840" s="10"/>
      <c r="DI840" s="9"/>
      <c r="DJ840" s="9"/>
      <c r="DK840" s="3"/>
      <c r="DL840" s="3"/>
      <c r="DM840" s="3"/>
    </row>
    <row r="841" ht="11.25" customHeight="1">
      <c r="A841" s="3"/>
      <c r="B841" s="2"/>
      <c r="C841" s="3"/>
      <c r="D841" s="3"/>
      <c r="E841" s="3"/>
      <c r="F841" s="4"/>
      <c r="G841" s="4"/>
      <c r="H841" s="4"/>
      <c r="I841" s="5"/>
      <c r="J841" s="4"/>
      <c r="K841" s="4"/>
      <c r="L841" s="6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3"/>
      <c r="AL841" s="3"/>
      <c r="AM841" s="3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8"/>
      <c r="BU841" s="8"/>
      <c r="BV841" s="8"/>
      <c r="BW841" s="8"/>
      <c r="BX841" s="3"/>
      <c r="BY841" s="3"/>
      <c r="BZ841" s="3"/>
      <c r="CA841" s="8"/>
      <c r="CB841" s="8"/>
      <c r="CC841" s="8"/>
      <c r="CD841" s="8"/>
      <c r="CE841" s="8"/>
      <c r="CF841" s="8"/>
      <c r="CG841" s="9"/>
      <c r="CH841" s="8"/>
      <c r="CI841" s="8"/>
      <c r="CJ841" s="8"/>
      <c r="CK841" s="8"/>
      <c r="CL841" s="8"/>
      <c r="CM841" s="8"/>
      <c r="CN841" s="8"/>
      <c r="CO841" s="8"/>
      <c r="CP841" s="8"/>
      <c r="CQ841" s="9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8"/>
      <c r="DC841" s="8"/>
      <c r="DD841" s="8"/>
      <c r="DE841" s="8"/>
      <c r="DF841" s="9"/>
      <c r="DG841" s="9"/>
      <c r="DH841" s="10"/>
      <c r="DI841" s="9"/>
      <c r="DJ841" s="9"/>
      <c r="DK841" s="3"/>
      <c r="DL841" s="3"/>
      <c r="DM841" s="3"/>
    </row>
    <row r="842" ht="11.25" customHeight="1">
      <c r="A842" s="3"/>
      <c r="B842" s="2"/>
      <c r="C842" s="3"/>
      <c r="D842" s="3"/>
      <c r="E842" s="3"/>
      <c r="F842" s="4"/>
      <c r="G842" s="4"/>
      <c r="H842" s="4"/>
      <c r="I842" s="5"/>
      <c r="J842" s="4"/>
      <c r="K842" s="4"/>
      <c r="L842" s="6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3"/>
      <c r="AL842" s="3"/>
      <c r="AM842" s="3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8"/>
      <c r="BU842" s="8"/>
      <c r="BV842" s="8"/>
      <c r="BW842" s="8"/>
      <c r="BX842" s="3"/>
      <c r="BY842" s="3"/>
      <c r="BZ842" s="3"/>
      <c r="CA842" s="8"/>
      <c r="CB842" s="8"/>
      <c r="CC842" s="8"/>
      <c r="CD842" s="8"/>
      <c r="CE842" s="8"/>
      <c r="CF842" s="8"/>
      <c r="CG842" s="9"/>
      <c r="CH842" s="8"/>
      <c r="CI842" s="8"/>
      <c r="CJ842" s="8"/>
      <c r="CK842" s="8"/>
      <c r="CL842" s="8"/>
      <c r="CM842" s="8"/>
      <c r="CN842" s="8"/>
      <c r="CO842" s="8"/>
      <c r="CP842" s="8"/>
      <c r="CQ842" s="9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8"/>
      <c r="DC842" s="8"/>
      <c r="DD842" s="8"/>
      <c r="DE842" s="8"/>
      <c r="DF842" s="9"/>
      <c r="DG842" s="9"/>
      <c r="DH842" s="10"/>
      <c r="DI842" s="9"/>
      <c r="DJ842" s="9"/>
      <c r="DK842" s="3"/>
      <c r="DL842" s="3"/>
      <c r="DM842" s="3"/>
    </row>
    <row r="843" ht="11.25" customHeight="1">
      <c r="A843" s="3"/>
      <c r="B843" s="2"/>
      <c r="C843" s="3"/>
      <c r="D843" s="3"/>
      <c r="E843" s="3"/>
      <c r="F843" s="4"/>
      <c r="G843" s="4"/>
      <c r="H843" s="4"/>
      <c r="I843" s="5"/>
      <c r="J843" s="4"/>
      <c r="K843" s="4"/>
      <c r="L843" s="6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3"/>
      <c r="AL843" s="3"/>
      <c r="AM843" s="3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8"/>
      <c r="BU843" s="8"/>
      <c r="BV843" s="8"/>
      <c r="BW843" s="8"/>
      <c r="BX843" s="3"/>
      <c r="BY843" s="3"/>
      <c r="BZ843" s="3"/>
      <c r="CA843" s="8"/>
      <c r="CB843" s="8"/>
      <c r="CC843" s="8"/>
      <c r="CD843" s="8"/>
      <c r="CE843" s="8"/>
      <c r="CF843" s="8"/>
      <c r="CG843" s="9"/>
      <c r="CH843" s="8"/>
      <c r="CI843" s="8"/>
      <c r="CJ843" s="8"/>
      <c r="CK843" s="8"/>
      <c r="CL843" s="8"/>
      <c r="CM843" s="8"/>
      <c r="CN843" s="8"/>
      <c r="CO843" s="8"/>
      <c r="CP843" s="8"/>
      <c r="CQ843" s="9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8"/>
      <c r="DC843" s="8"/>
      <c r="DD843" s="8"/>
      <c r="DE843" s="8"/>
      <c r="DF843" s="9"/>
      <c r="DG843" s="9"/>
      <c r="DH843" s="10"/>
      <c r="DI843" s="9"/>
      <c r="DJ843" s="9"/>
      <c r="DK843" s="3"/>
      <c r="DL843" s="3"/>
      <c r="DM843" s="3"/>
    </row>
    <row r="844" ht="11.25" customHeight="1">
      <c r="A844" s="3"/>
      <c r="B844" s="2"/>
      <c r="C844" s="3"/>
      <c r="D844" s="3"/>
      <c r="E844" s="3"/>
      <c r="F844" s="4"/>
      <c r="G844" s="4"/>
      <c r="H844" s="4"/>
      <c r="I844" s="5"/>
      <c r="J844" s="4"/>
      <c r="K844" s="4"/>
      <c r="L844" s="6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3"/>
      <c r="AL844" s="3"/>
      <c r="AM844" s="3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8"/>
      <c r="BU844" s="8"/>
      <c r="BV844" s="8"/>
      <c r="BW844" s="8"/>
      <c r="BX844" s="3"/>
      <c r="BY844" s="3"/>
      <c r="BZ844" s="3"/>
      <c r="CA844" s="8"/>
      <c r="CB844" s="8"/>
      <c r="CC844" s="8"/>
      <c r="CD844" s="8"/>
      <c r="CE844" s="8"/>
      <c r="CF844" s="8"/>
      <c r="CG844" s="9"/>
      <c r="CH844" s="8"/>
      <c r="CI844" s="8"/>
      <c r="CJ844" s="8"/>
      <c r="CK844" s="8"/>
      <c r="CL844" s="8"/>
      <c r="CM844" s="8"/>
      <c r="CN844" s="8"/>
      <c r="CO844" s="8"/>
      <c r="CP844" s="8"/>
      <c r="CQ844" s="9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8"/>
      <c r="DC844" s="8"/>
      <c r="DD844" s="8"/>
      <c r="DE844" s="8"/>
      <c r="DF844" s="9"/>
      <c r="DG844" s="9"/>
      <c r="DH844" s="10"/>
      <c r="DI844" s="9"/>
      <c r="DJ844" s="9"/>
      <c r="DK844" s="3"/>
      <c r="DL844" s="3"/>
      <c r="DM844" s="3"/>
    </row>
    <row r="845" ht="11.25" customHeight="1">
      <c r="A845" s="3"/>
      <c r="B845" s="2"/>
      <c r="C845" s="3"/>
      <c r="D845" s="3"/>
      <c r="E845" s="3"/>
      <c r="F845" s="4"/>
      <c r="G845" s="4"/>
      <c r="H845" s="4"/>
      <c r="I845" s="5"/>
      <c r="J845" s="4"/>
      <c r="K845" s="4"/>
      <c r="L845" s="6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3"/>
      <c r="AL845" s="3"/>
      <c r="AM845" s="3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8"/>
      <c r="BU845" s="8"/>
      <c r="BV845" s="8"/>
      <c r="BW845" s="8"/>
      <c r="BX845" s="3"/>
      <c r="BY845" s="3"/>
      <c r="BZ845" s="3"/>
      <c r="CA845" s="8"/>
      <c r="CB845" s="8"/>
      <c r="CC845" s="8"/>
      <c r="CD845" s="8"/>
      <c r="CE845" s="8"/>
      <c r="CF845" s="8"/>
      <c r="CG845" s="9"/>
      <c r="CH845" s="8"/>
      <c r="CI845" s="8"/>
      <c r="CJ845" s="8"/>
      <c r="CK845" s="8"/>
      <c r="CL845" s="8"/>
      <c r="CM845" s="8"/>
      <c r="CN845" s="8"/>
      <c r="CO845" s="8"/>
      <c r="CP845" s="8"/>
      <c r="CQ845" s="9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8"/>
      <c r="DC845" s="8"/>
      <c r="DD845" s="8"/>
      <c r="DE845" s="8"/>
      <c r="DF845" s="9"/>
      <c r="DG845" s="9"/>
      <c r="DH845" s="10"/>
      <c r="DI845" s="9"/>
      <c r="DJ845" s="9"/>
      <c r="DK845" s="3"/>
      <c r="DL845" s="3"/>
      <c r="DM845" s="3"/>
    </row>
    <row r="846" ht="11.25" customHeight="1">
      <c r="A846" s="3"/>
      <c r="B846" s="2"/>
      <c r="C846" s="3"/>
      <c r="D846" s="3"/>
      <c r="E846" s="3"/>
      <c r="F846" s="4"/>
      <c r="G846" s="4"/>
      <c r="H846" s="4"/>
      <c r="I846" s="5"/>
      <c r="J846" s="4"/>
      <c r="K846" s="4"/>
      <c r="L846" s="6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3"/>
      <c r="AL846" s="3"/>
      <c r="AM846" s="3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8"/>
      <c r="BU846" s="8"/>
      <c r="BV846" s="8"/>
      <c r="BW846" s="8"/>
      <c r="BX846" s="3"/>
      <c r="BY846" s="3"/>
      <c r="BZ846" s="3"/>
      <c r="CA846" s="8"/>
      <c r="CB846" s="8"/>
      <c r="CC846" s="8"/>
      <c r="CD846" s="8"/>
      <c r="CE846" s="8"/>
      <c r="CF846" s="8"/>
      <c r="CG846" s="9"/>
      <c r="CH846" s="8"/>
      <c r="CI846" s="8"/>
      <c r="CJ846" s="8"/>
      <c r="CK846" s="8"/>
      <c r="CL846" s="8"/>
      <c r="CM846" s="8"/>
      <c r="CN846" s="8"/>
      <c r="CO846" s="8"/>
      <c r="CP846" s="8"/>
      <c r="CQ846" s="9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8"/>
      <c r="DC846" s="8"/>
      <c r="DD846" s="8"/>
      <c r="DE846" s="8"/>
      <c r="DF846" s="9"/>
      <c r="DG846" s="9"/>
      <c r="DH846" s="10"/>
      <c r="DI846" s="9"/>
      <c r="DJ846" s="9"/>
      <c r="DK846" s="3"/>
      <c r="DL846" s="3"/>
      <c r="DM846" s="3"/>
    </row>
    <row r="847" ht="11.25" customHeight="1">
      <c r="A847" s="3"/>
      <c r="B847" s="2"/>
      <c r="C847" s="3"/>
      <c r="D847" s="3"/>
      <c r="E847" s="3"/>
      <c r="F847" s="4"/>
      <c r="G847" s="4"/>
      <c r="H847" s="4"/>
      <c r="I847" s="5"/>
      <c r="J847" s="4"/>
      <c r="K847" s="4"/>
      <c r="L847" s="6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3"/>
      <c r="AL847" s="3"/>
      <c r="AM847" s="3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8"/>
      <c r="BU847" s="8"/>
      <c r="BV847" s="8"/>
      <c r="BW847" s="8"/>
      <c r="BX847" s="3"/>
      <c r="BY847" s="3"/>
      <c r="BZ847" s="3"/>
      <c r="CA847" s="8"/>
      <c r="CB847" s="8"/>
      <c r="CC847" s="8"/>
      <c r="CD847" s="8"/>
      <c r="CE847" s="8"/>
      <c r="CF847" s="8"/>
      <c r="CG847" s="9"/>
      <c r="CH847" s="8"/>
      <c r="CI847" s="8"/>
      <c r="CJ847" s="8"/>
      <c r="CK847" s="8"/>
      <c r="CL847" s="8"/>
      <c r="CM847" s="8"/>
      <c r="CN847" s="8"/>
      <c r="CO847" s="8"/>
      <c r="CP847" s="8"/>
      <c r="CQ847" s="9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8"/>
      <c r="DC847" s="8"/>
      <c r="DD847" s="8"/>
      <c r="DE847" s="8"/>
      <c r="DF847" s="9"/>
      <c r="DG847" s="9"/>
      <c r="DH847" s="10"/>
      <c r="DI847" s="9"/>
      <c r="DJ847" s="9"/>
      <c r="DK847" s="3"/>
      <c r="DL847" s="3"/>
      <c r="DM847" s="3"/>
    </row>
    <row r="848" ht="11.25" customHeight="1">
      <c r="A848" s="3"/>
      <c r="B848" s="2"/>
      <c r="C848" s="3"/>
      <c r="D848" s="3"/>
      <c r="E848" s="3"/>
      <c r="F848" s="4"/>
      <c r="G848" s="4"/>
      <c r="H848" s="4"/>
      <c r="I848" s="5"/>
      <c r="J848" s="4"/>
      <c r="K848" s="4"/>
      <c r="L848" s="6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3"/>
      <c r="AL848" s="3"/>
      <c r="AM848" s="3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8"/>
      <c r="BU848" s="8"/>
      <c r="BV848" s="8"/>
      <c r="BW848" s="8"/>
      <c r="BX848" s="3"/>
      <c r="BY848" s="3"/>
      <c r="BZ848" s="3"/>
      <c r="CA848" s="8"/>
      <c r="CB848" s="8"/>
      <c r="CC848" s="8"/>
      <c r="CD848" s="8"/>
      <c r="CE848" s="8"/>
      <c r="CF848" s="8"/>
      <c r="CG848" s="9"/>
      <c r="CH848" s="8"/>
      <c r="CI848" s="8"/>
      <c r="CJ848" s="8"/>
      <c r="CK848" s="8"/>
      <c r="CL848" s="8"/>
      <c r="CM848" s="8"/>
      <c r="CN848" s="8"/>
      <c r="CO848" s="8"/>
      <c r="CP848" s="8"/>
      <c r="CQ848" s="9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8"/>
      <c r="DC848" s="8"/>
      <c r="DD848" s="8"/>
      <c r="DE848" s="8"/>
      <c r="DF848" s="9"/>
      <c r="DG848" s="9"/>
      <c r="DH848" s="10"/>
      <c r="DI848" s="9"/>
      <c r="DJ848" s="9"/>
      <c r="DK848" s="3"/>
      <c r="DL848" s="3"/>
      <c r="DM848" s="3"/>
    </row>
    <row r="849" ht="11.25" customHeight="1">
      <c r="A849" s="3"/>
      <c r="B849" s="2"/>
      <c r="C849" s="3"/>
      <c r="D849" s="3"/>
      <c r="E849" s="3"/>
      <c r="F849" s="4"/>
      <c r="G849" s="4"/>
      <c r="H849" s="4"/>
      <c r="I849" s="5"/>
      <c r="J849" s="4"/>
      <c r="K849" s="4"/>
      <c r="L849" s="6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3"/>
      <c r="AL849" s="3"/>
      <c r="AM849" s="3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8"/>
      <c r="BU849" s="8"/>
      <c r="BV849" s="8"/>
      <c r="BW849" s="8"/>
      <c r="BX849" s="3"/>
      <c r="BY849" s="3"/>
      <c r="BZ849" s="3"/>
      <c r="CA849" s="8"/>
      <c r="CB849" s="8"/>
      <c r="CC849" s="8"/>
      <c r="CD849" s="8"/>
      <c r="CE849" s="8"/>
      <c r="CF849" s="8"/>
      <c r="CG849" s="9"/>
      <c r="CH849" s="8"/>
      <c r="CI849" s="8"/>
      <c r="CJ849" s="8"/>
      <c r="CK849" s="8"/>
      <c r="CL849" s="8"/>
      <c r="CM849" s="8"/>
      <c r="CN849" s="8"/>
      <c r="CO849" s="8"/>
      <c r="CP849" s="8"/>
      <c r="CQ849" s="9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8"/>
      <c r="DC849" s="8"/>
      <c r="DD849" s="8"/>
      <c r="DE849" s="8"/>
      <c r="DF849" s="9"/>
      <c r="DG849" s="9"/>
      <c r="DH849" s="10"/>
      <c r="DI849" s="9"/>
      <c r="DJ849" s="9"/>
      <c r="DK849" s="3"/>
      <c r="DL849" s="3"/>
      <c r="DM849" s="3"/>
    </row>
    <row r="850" ht="11.25" customHeight="1">
      <c r="A850" s="3"/>
      <c r="B850" s="2"/>
      <c r="C850" s="3"/>
      <c r="D850" s="3"/>
      <c r="E850" s="3"/>
      <c r="F850" s="4"/>
      <c r="G850" s="4"/>
      <c r="H850" s="4"/>
      <c r="I850" s="5"/>
      <c r="J850" s="4"/>
      <c r="K850" s="4"/>
      <c r="L850" s="6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3"/>
      <c r="AL850" s="3"/>
      <c r="AM850" s="3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8"/>
      <c r="BU850" s="8"/>
      <c r="BV850" s="8"/>
      <c r="BW850" s="8"/>
      <c r="BX850" s="3"/>
      <c r="BY850" s="3"/>
      <c r="BZ850" s="3"/>
      <c r="CA850" s="8"/>
      <c r="CB850" s="8"/>
      <c r="CC850" s="8"/>
      <c r="CD850" s="8"/>
      <c r="CE850" s="8"/>
      <c r="CF850" s="8"/>
      <c r="CG850" s="9"/>
      <c r="CH850" s="8"/>
      <c r="CI850" s="8"/>
      <c r="CJ850" s="8"/>
      <c r="CK850" s="8"/>
      <c r="CL850" s="8"/>
      <c r="CM850" s="8"/>
      <c r="CN850" s="8"/>
      <c r="CO850" s="8"/>
      <c r="CP850" s="8"/>
      <c r="CQ850" s="9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8"/>
      <c r="DC850" s="8"/>
      <c r="DD850" s="8"/>
      <c r="DE850" s="8"/>
      <c r="DF850" s="9"/>
      <c r="DG850" s="9"/>
      <c r="DH850" s="10"/>
      <c r="DI850" s="9"/>
      <c r="DJ850" s="9"/>
      <c r="DK850" s="3"/>
      <c r="DL850" s="3"/>
      <c r="DM850" s="3"/>
    </row>
    <row r="851" ht="11.25" customHeight="1">
      <c r="A851" s="3"/>
      <c r="B851" s="2"/>
      <c r="C851" s="3"/>
      <c r="D851" s="3"/>
      <c r="E851" s="3"/>
      <c r="F851" s="4"/>
      <c r="G851" s="4"/>
      <c r="H851" s="4"/>
      <c r="I851" s="5"/>
      <c r="J851" s="4"/>
      <c r="K851" s="4"/>
      <c r="L851" s="6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3"/>
      <c r="AL851" s="3"/>
      <c r="AM851" s="3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8"/>
      <c r="BU851" s="8"/>
      <c r="BV851" s="8"/>
      <c r="BW851" s="8"/>
      <c r="BX851" s="3"/>
      <c r="BY851" s="3"/>
      <c r="BZ851" s="3"/>
      <c r="CA851" s="8"/>
      <c r="CB851" s="8"/>
      <c r="CC851" s="8"/>
      <c r="CD851" s="8"/>
      <c r="CE851" s="8"/>
      <c r="CF851" s="8"/>
      <c r="CG851" s="9"/>
      <c r="CH851" s="8"/>
      <c r="CI851" s="8"/>
      <c r="CJ851" s="8"/>
      <c r="CK851" s="8"/>
      <c r="CL851" s="8"/>
      <c r="CM851" s="8"/>
      <c r="CN851" s="8"/>
      <c r="CO851" s="8"/>
      <c r="CP851" s="8"/>
      <c r="CQ851" s="9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8"/>
      <c r="DC851" s="8"/>
      <c r="DD851" s="8"/>
      <c r="DE851" s="8"/>
      <c r="DF851" s="9"/>
      <c r="DG851" s="9"/>
      <c r="DH851" s="10"/>
      <c r="DI851" s="9"/>
      <c r="DJ851" s="9"/>
      <c r="DK851" s="3"/>
      <c r="DL851" s="3"/>
      <c r="DM851" s="3"/>
    </row>
    <row r="852" ht="11.25" customHeight="1">
      <c r="A852" s="3"/>
      <c r="B852" s="2"/>
      <c r="C852" s="3"/>
      <c r="D852" s="3"/>
      <c r="E852" s="3"/>
      <c r="F852" s="4"/>
      <c r="G852" s="4"/>
      <c r="H852" s="4"/>
      <c r="I852" s="5"/>
      <c r="J852" s="4"/>
      <c r="K852" s="4"/>
      <c r="L852" s="6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3"/>
      <c r="AL852" s="3"/>
      <c r="AM852" s="3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8"/>
      <c r="BU852" s="8"/>
      <c r="BV852" s="8"/>
      <c r="BW852" s="8"/>
      <c r="BX852" s="3"/>
      <c r="BY852" s="3"/>
      <c r="BZ852" s="3"/>
      <c r="CA852" s="8"/>
      <c r="CB852" s="8"/>
      <c r="CC852" s="8"/>
      <c r="CD852" s="8"/>
      <c r="CE852" s="8"/>
      <c r="CF852" s="8"/>
      <c r="CG852" s="9"/>
      <c r="CH852" s="8"/>
      <c r="CI852" s="8"/>
      <c r="CJ852" s="8"/>
      <c r="CK852" s="8"/>
      <c r="CL852" s="8"/>
      <c r="CM852" s="8"/>
      <c r="CN852" s="8"/>
      <c r="CO852" s="8"/>
      <c r="CP852" s="8"/>
      <c r="CQ852" s="9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8"/>
      <c r="DC852" s="8"/>
      <c r="DD852" s="8"/>
      <c r="DE852" s="8"/>
      <c r="DF852" s="9"/>
      <c r="DG852" s="9"/>
      <c r="DH852" s="10"/>
      <c r="DI852" s="9"/>
      <c r="DJ852" s="9"/>
      <c r="DK852" s="3"/>
      <c r="DL852" s="3"/>
      <c r="DM852" s="3"/>
    </row>
    <row r="853" ht="11.25" customHeight="1">
      <c r="A853" s="3"/>
      <c r="B853" s="2"/>
      <c r="C853" s="3"/>
      <c r="D853" s="3"/>
      <c r="E853" s="3"/>
      <c r="F853" s="4"/>
      <c r="G853" s="4"/>
      <c r="H853" s="4"/>
      <c r="I853" s="5"/>
      <c r="J853" s="4"/>
      <c r="K853" s="4"/>
      <c r="L853" s="6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3"/>
      <c r="AL853" s="3"/>
      <c r="AM853" s="3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8"/>
      <c r="BU853" s="8"/>
      <c r="BV853" s="8"/>
      <c r="BW853" s="8"/>
      <c r="BX853" s="3"/>
      <c r="BY853" s="3"/>
      <c r="BZ853" s="3"/>
      <c r="CA853" s="8"/>
      <c r="CB853" s="8"/>
      <c r="CC853" s="8"/>
      <c r="CD853" s="8"/>
      <c r="CE853" s="8"/>
      <c r="CF853" s="8"/>
      <c r="CG853" s="9"/>
      <c r="CH853" s="8"/>
      <c r="CI853" s="8"/>
      <c r="CJ853" s="8"/>
      <c r="CK853" s="8"/>
      <c r="CL853" s="8"/>
      <c r="CM853" s="8"/>
      <c r="CN853" s="8"/>
      <c r="CO853" s="8"/>
      <c r="CP853" s="8"/>
      <c r="CQ853" s="9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8"/>
      <c r="DC853" s="8"/>
      <c r="DD853" s="8"/>
      <c r="DE853" s="8"/>
      <c r="DF853" s="9"/>
      <c r="DG853" s="9"/>
      <c r="DH853" s="10"/>
      <c r="DI853" s="9"/>
      <c r="DJ853" s="9"/>
      <c r="DK853" s="3"/>
      <c r="DL853" s="3"/>
      <c r="DM853" s="3"/>
    </row>
    <row r="854" ht="11.25" customHeight="1">
      <c r="A854" s="3"/>
      <c r="B854" s="2"/>
      <c r="C854" s="3"/>
      <c r="D854" s="3"/>
      <c r="E854" s="3"/>
      <c r="F854" s="4"/>
      <c r="G854" s="4"/>
      <c r="H854" s="4"/>
      <c r="I854" s="5"/>
      <c r="J854" s="4"/>
      <c r="K854" s="4"/>
      <c r="L854" s="6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3"/>
      <c r="AL854" s="3"/>
      <c r="AM854" s="3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8"/>
      <c r="BU854" s="8"/>
      <c r="BV854" s="8"/>
      <c r="BW854" s="8"/>
      <c r="BX854" s="3"/>
      <c r="BY854" s="3"/>
      <c r="BZ854" s="3"/>
      <c r="CA854" s="8"/>
      <c r="CB854" s="8"/>
      <c r="CC854" s="8"/>
      <c r="CD854" s="8"/>
      <c r="CE854" s="8"/>
      <c r="CF854" s="8"/>
      <c r="CG854" s="9"/>
      <c r="CH854" s="8"/>
      <c r="CI854" s="8"/>
      <c r="CJ854" s="8"/>
      <c r="CK854" s="8"/>
      <c r="CL854" s="8"/>
      <c r="CM854" s="8"/>
      <c r="CN854" s="8"/>
      <c r="CO854" s="8"/>
      <c r="CP854" s="8"/>
      <c r="CQ854" s="9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8"/>
      <c r="DC854" s="8"/>
      <c r="DD854" s="8"/>
      <c r="DE854" s="8"/>
      <c r="DF854" s="9"/>
      <c r="DG854" s="9"/>
      <c r="DH854" s="10"/>
      <c r="DI854" s="9"/>
      <c r="DJ854" s="9"/>
      <c r="DK854" s="3"/>
      <c r="DL854" s="3"/>
      <c r="DM854" s="3"/>
    </row>
    <row r="855" ht="11.25" customHeight="1">
      <c r="A855" s="3"/>
      <c r="B855" s="2"/>
      <c r="C855" s="3"/>
      <c r="D855" s="3"/>
      <c r="E855" s="3"/>
      <c r="F855" s="4"/>
      <c r="G855" s="4"/>
      <c r="H855" s="4"/>
      <c r="I855" s="5"/>
      <c r="J855" s="4"/>
      <c r="K855" s="4"/>
      <c r="L855" s="6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3"/>
      <c r="AL855" s="3"/>
      <c r="AM855" s="3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8"/>
      <c r="BU855" s="8"/>
      <c r="BV855" s="8"/>
      <c r="BW855" s="8"/>
      <c r="BX855" s="3"/>
      <c r="BY855" s="3"/>
      <c r="BZ855" s="3"/>
      <c r="CA855" s="8"/>
      <c r="CB855" s="8"/>
      <c r="CC855" s="8"/>
      <c r="CD855" s="8"/>
      <c r="CE855" s="8"/>
      <c r="CF855" s="8"/>
      <c r="CG855" s="9"/>
      <c r="CH855" s="8"/>
      <c r="CI855" s="8"/>
      <c r="CJ855" s="8"/>
      <c r="CK855" s="8"/>
      <c r="CL855" s="8"/>
      <c r="CM855" s="8"/>
      <c r="CN855" s="8"/>
      <c r="CO855" s="8"/>
      <c r="CP855" s="8"/>
      <c r="CQ855" s="9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8"/>
      <c r="DC855" s="8"/>
      <c r="DD855" s="8"/>
      <c r="DE855" s="8"/>
      <c r="DF855" s="9"/>
      <c r="DG855" s="9"/>
      <c r="DH855" s="10"/>
      <c r="DI855" s="9"/>
      <c r="DJ855" s="9"/>
      <c r="DK855" s="3"/>
      <c r="DL855" s="3"/>
      <c r="DM855" s="3"/>
    </row>
    <row r="856" ht="11.25" customHeight="1">
      <c r="A856" s="3"/>
      <c r="B856" s="2"/>
      <c r="C856" s="3"/>
      <c r="D856" s="3"/>
      <c r="E856" s="3"/>
      <c r="F856" s="4"/>
      <c r="G856" s="4"/>
      <c r="H856" s="4"/>
      <c r="I856" s="5"/>
      <c r="J856" s="4"/>
      <c r="K856" s="4"/>
      <c r="L856" s="6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3"/>
      <c r="AL856" s="3"/>
      <c r="AM856" s="3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8"/>
      <c r="BU856" s="8"/>
      <c r="BV856" s="8"/>
      <c r="BW856" s="8"/>
      <c r="BX856" s="3"/>
      <c r="BY856" s="3"/>
      <c r="BZ856" s="3"/>
      <c r="CA856" s="8"/>
      <c r="CB856" s="8"/>
      <c r="CC856" s="8"/>
      <c r="CD856" s="8"/>
      <c r="CE856" s="8"/>
      <c r="CF856" s="8"/>
      <c r="CG856" s="9"/>
      <c r="CH856" s="8"/>
      <c r="CI856" s="8"/>
      <c r="CJ856" s="8"/>
      <c r="CK856" s="8"/>
      <c r="CL856" s="8"/>
      <c r="CM856" s="8"/>
      <c r="CN856" s="8"/>
      <c r="CO856" s="8"/>
      <c r="CP856" s="8"/>
      <c r="CQ856" s="9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8"/>
      <c r="DC856" s="8"/>
      <c r="DD856" s="8"/>
      <c r="DE856" s="8"/>
      <c r="DF856" s="9"/>
      <c r="DG856" s="9"/>
      <c r="DH856" s="10"/>
      <c r="DI856" s="9"/>
      <c r="DJ856" s="9"/>
      <c r="DK856" s="3"/>
      <c r="DL856" s="3"/>
      <c r="DM856" s="3"/>
    </row>
    <row r="857" ht="11.25" customHeight="1">
      <c r="A857" s="3"/>
      <c r="B857" s="2"/>
      <c r="C857" s="3"/>
      <c r="D857" s="3"/>
      <c r="E857" s="3"/>
      <c r="F857" s="4"/>
      <c r="G857" s="4"/>
      <c r="H857" s="4"/>
      <c r="I857" s="5"/>
      <c r="J857" s="4"/>
      <c r="K857" s="4"/>
      <c r="L857" s="6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3"/>
      <c r="AL857" s="3"/>
      <c r="AM857" s="3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8"/>
      <c r="BU857" s="8"/>
      <c r="BV857" s="8"/>
      <c r="BW857" s="8"/>
      <c r="BX857" s="3"/>
      <c r="BY857" s="3"/>
      <c r="BZ857" s="3"/>
      <c r="CA857" s="8"/>
      <c r="CB857" s="8"/>
      <c r="CC857" s="8"/>
      <c r="CD857" s="8"/>
      <c r="CE857" s="8"/>
      <c r="CF857" s="8"/>
      <c r="CG857" s="9"/>
      <c r="CH857" s="8"/>
      <c r="CI857" s="8"/>
      <c r="CJ857" s="8"/>
      <c r="CK857" s="8"/>
      <c r="CL857" s="8"/>
      <c r="CM857" s="8"/>
      <c r="CN857" s="8"/>
      <c r="CO857" s="8"/>
      <c r="CP857" s="8"/>
      <c r="CQ857" s="9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8"/>
      <c r="DC857" s="8"/>
      <c r="DD857" s="8"/>
      <c r="DE857" s="8"/>
      <c r="DF857" s="9"/>
      <c r="DG857" s="9"/>
      <c r="DH857" s="10"/>
      <c r="DI857" s="9"/>
      <c r="DJ857" s="9"/>
      <c r="DK857" s="3"/>
      <c r="DL857" s="3"/>
      <c r="DM857" s="3"/>
    </row>
    <row r="858" ht="11.25" customHeight="1">
      <c r="A858" s="3"/>
      <c r="B858" s="2"/>
      <c r="C858" s="3"/>
      <c r="D858" s="3"/>
      <c r="E858" s="3"/>
      <c r="F858" s="4"/>
      <c r="G858" s="4"/>
      <c r="H858" s="4"/>
      <c r="I858" s="5"/>
      <c r="J858" s="4"/>
      <c r="K858" s="4"/>
      <c r="L858" s="6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3"/>
      <c r="AL858" s="3"/>
      <c r="AM858" s="3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8"/>
      <c r="BU858" s="8"/>
      <c r="BV858" s="8"/>
      <c r="BW858" s="8"/>
      <c r="BX858" s="3"/>
      <c r="BY858" s="3"/>
      <c r="BZ858" s="3"/>
      <c r="CA858" s="8"/>
      <c r="CB858" s="8"/>
      <c r="CC858" s="8"/>
      <c r="CD858" s="8"/>
      <c r="CE858" s="8"/>
      <c r="CF858" s="8"/>
      <c r="CG858" s="9"/>
      <c r="CH858" s="8"/>
      <c r="CI858" s="8"/>
      <c r="CJ858" s="8"/>
      <c r="CK858" s="8"/>
      <c r="CL858" s="8"/>
      <c r="CM858" s="8"/>
      <c r="CN858" s="8"/>
      <c r="CO858" s="8"/>
      <c r="CP858" s="8"/>
      <c r="CQ858" s="9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8"/>
      <c r="DC858" s="8"/>
      <c r="DD858" s="8"/>
      <c r="DE858" s="8"/>
      <c r="DF858" s="9"/>
      <c r="DG858" s="9"/>
      <c r="DH858" s="10"/>
      <c r="DI858" s="9"/>
      <c r="DJ858" s="9"/>
      <c r="DK858" s="3"/>
      <c r="DL858" s="3"/>
      <c r="DM858" s="3"/>
    </row>
    <row r="859" ht="11.25" customHeight="1">
      <c r="A859" s="3"/>
      <c r="B859" s="2"/>
      <c r="C859" s="3"/>
      <c r="D859" s="3"/>
      <c r="E859" s="3"/>
      <c r="F859" s="4"/>
      <c r="G859" s="4"/>
      <c r="H859" s="4"/>
      <c r="I859" s="5"/>
      <c r="J859" s="4"/>
      <c r="K859" s="4"/>
      <c r="L859" s="6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3"/>
      <c r="AL859" s="3"/>
      <c r="AM859" s="3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8"/>
      <c r="BU859" s="8"/>
      <c r="BV859" s="8"/>
      <c r="BW859" s="8"/>
      <c r="BX859" s="3"/>
      <c r="BY859" s="3"/>
      <c r="BZ859" s="3"/>
      <c r="CA859" s="8"/>
      <c r="CB859" s="8"/>
      <c r="CC859" s="8"/>
      <c r="CD859" s="8"/>
      <c r="CE859" s="8"/>
      <c r="CF859" s="8"/>
      <c r="CG859" s="9"/>
      <c r="CH859" s="8"/>
      <c r="CI859" s="8"/>
      <c r="CJ859" s="8"/>
      <c r="CK859" s="8"/>
      <c r="CL859" s="8"/>
      <c r="CM859" s="8"/>
      <c r="CN859" s="8"/>
      <c r="CO859" s="8"/>
      <c r="CP859" s="8"/>
      <c r="CQ859" s="9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8"/>
      <c r="DC859" s="8"/>
      <c r="DD859" s="8"/>
      <c r="DE859" s="8"/>
      <c r="DF859" s="9"/>
      <c r="DG859" s="9"/>
      <c r="DH859" s="10"/>
      <c r="DI859" s="9"/>
      <c r="DJ859" s="9"/>
      <c r="DK859" s="3"/>
      <c r="DL859" s="3"/>
      <c r="DM859" s="3"/>
    </row>
    <row r="860" ht="11.25" customHeight="1">
      <c r="A860" s="3"/>
      <c r="B860" s="2"/>
      <c r="C860" s="3"/>
      <c r="D860" s="3"/>
      <c r="E860" s="3"/>
      <c r="F860" s="4"/>
      <c r="G860" s="4"/>
      <c r="H860" s="4"/>
      <c r="I860" s="5"/>
      <c r="J860" s="4"/>
      <c r="K860" s="4"/>
      <c r="L860" s="6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3"/>
      <c r="AL860" s="3"/>
      <c r="AM860" s="3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8"/>
      <c r="BU860" s="8"/>
      <c r="BV860" s="8"/>
      <c r="BW860" s="8"/>
      <c r="BX860" s="3"/>
      <c r="BY860" s="3"/>
      <c r="BZ860" s="3"/>
      <c r="CA860" s="8"/>
      <c r="CB860" s="8"/>
      <c r="CC860" s="8"/>
      <c r="CD860" s="8"/>
      <c r="CE860" s="8"/>
      <c r="CF860" s="8"/>
      <c r="CG860" s="9"/>
      <c r="CH860" s="8"/>
      <c r="CI860" s="8"/>
      <c r="CJ860" s="8"/>
      <c r="CK860" s="8"/>
      <c r="CL860" s="8"/>
      <c r="CM860" s="8"/>
      <c r="CN860" s="8"/>
      <c r="CO860" s="8"/>
      <c r="CP860" s="8"/>
      <c r="CQ860" s="9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8"/>
      <c r="DC860" s="8"/>
      <c r="DD860" s="8"/>
      <c r="DE860" s="8"/>
      <c r="DF860" s="9"/>
      <c r="DG860" s="9"/>
      <c r="DH860" s="10"/>
      <c r="DI860" s="9"/>
      <c r="DJ860" s="9"/>
      <c r="DK860" s="3"/>
      <c r="DL860" s="3"/>
      <c r="DM860" s="3"/>
    </row>
    <row r="861" ht="11.25" customHeight="1">
      <c r="A861" s="3"/>
      <c r="B861" s="2"/>
      <c r="C861" s="3"/>
      <c r="D861" s="3"/>
      <c r="E861" s="3"/>
      <c r="F861" s="4"/>
      <c r="G861" s="4"/>
      <c r="H861" s="4"/>
      <c r="I861" s="5"/>
      <c r="J861" s="4"/>
      <c r="K861" s="4"/>
      <c r="L861" s="6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3"/>
      <c r="AL861" s="3"/>
      <c r="AM861" s="3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8"/>
      <c r="BU861" s="8"/>
      <c r="BV861" s="8"/>
      <c r="BW861" s="8"/>
      <c r="BX861" s="3"/>
      <c r="BY861" s="3"/>
      <c r="BZ861" s="3"/>
      <c r="CA861" s="8"/>
      <c r="CB861" s="8"/>
      <c r="CC861" s="8"/>
      <c r="CD861" s="8"/>
      <c r="CE861" s="8"/>
      <c r="CF861" s="8"/>
      <c r="CG861" s="9"/>
      <c r="CH861" s="8"/>
      <c r="CI861" s="8"/>
      <c r="CJ861" s="8"/>
      <c r="CK861" s="8"/>
      <c r="CL861" s="8"/>
      <c r="CM861" s="8"/>
      <c r="CN861" s="8"/>
      <c r="CO861" s="8"/>
      <c r="CP861" s="8"/>
      <c r="CQ861" s="9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8"/>
      <c r="DC861" s="8"/>
      <c r="DD861" s="8"/>
      <c r="DE861" s="8"/>
      <c r="DF861" s="9"/>
      <c r="DG861" s="9"/>
      <c r="DH861" s="10"/>
      <c r="DI861" s="9"/>
      <c r="DJ861" s="9"/>
      <c r="DK861" s="3"/>
      <c r="DL861" s="3"/>
      <c r="DM861" s="3"/>
    </row>
    <row r="862" ht="11.25" customHeight="1">
      <c r="A862" s="3"/>
      <c r="B862" s="2"/>
      <c r="C862" s="3"/>
      <c r="D862" s="3"/>
      <c r="E862" s="3"/>
      <c r="F862" s="4"/>
      <c r="G862" s="4"/>
      <c r="H862" s="4"/>
      <c r="I862" s="5"/>
      <c r="J862" s="4"/>
      <c r="K862" s="4"/>
      <c r="L862" s="6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3"/>
      <c r="AL862" s="3"/>
      <c r="AM862" s="3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8"/>
      <c r="BU862" s="8"/>
      <c r="BV862" s="8"/>
      <c r="BW862" s="8"/>
      <c r="BX862" s="3"/>
      <c r="BY862" s="3"/>
      <c r="BZ862" s="3"/>
      <c r="CA862" s="8"/>
      <c r="CB862" s="8"/>
      <c r="CC862" s="8"/>
      <c r="CD862" s="8"/>
      <c r="CE862" s="8"/>
      <c r="CF862" s="8"/>
      <c r="CG862" s="9"/>
      <c r="CH862" s="8"/>
      <c r="CI862" s="8"/>
      <c r="CJ862" s="8"/>
      <c r="CK862" s="8"/>
      <c r="CL862" s="8"/>
      <c r="CM862" s="8"/>
      <c r="CN862" s="8"/>
      <c r="CO862" s="8"/>
      <c r="CP862" s="8"/>
      <c r="CQ862" s="9"/>
      <c r="CR862" s="8"/>
      <c r="CS862" s="8"/>
      <c r="CT862" s="8"/>
      <c r="CU862" s="8"/>
      <c r="CV862" s="8"/>
      <c r="CW862" s="8"/>
      <c r="CX862" s="8"/>
      <c r="CY862" s="8"/>
      <c r="CZ862" s="8"/>
      <c r="DA862" s="8"/>
      <c r="DB862" s="8"/>
      <c r="DC862" s="8"/>
      <c r="DD862" s="8"/>
      <c r="DE862" s="8"/>
      <c r="DF862" s="9"/>
      <c r="DG862" s="9"/>
      <c r="DH862" s="10"/>
      <c r="DI862" s="9"/>
      <c r="DJ862" s="9"/>
      <c r="DK862" s="3"/>
      <c r="DL862" s="3"/>
      <c r="DM862" s="3"/>
    </row>
    <row r="863" ht="11.25" customHeight="1">
      <c r="A863" s="3"/>
      <c r="B863" s="2"/>
      <c r="C863" s="3"/>
      <c r="D863" s="3"/>
      <c r="E863" s="3"/>
      <c r="F863" s="4"/>
      <c r="G863" s="4"/>
      <c r="H863" s="4"/>
      <c r="I863" s="5"/>
      <c r="J863" s="4"/>
      <c r="K863" s="4"/>
      <c r="L863" s="6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3"/>
      <c r="AL863" s="3"/>
      <c r="AM863" s="3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8"/>
      <c r="BU863" s="8"/>
      <c r="BV863" s="8"/>
      <c r="BW863" s="8"/>
      <c r="BX863" s="3"/>
      <c r="BY863" s="3"/>
      <c r="BZ863" s="3"/>
      <c r="CA863" s="8"/>
      <c r="CB863" s="8"/>
      <c r="CC863" s="8"/>
      <c r="CD863" s="8"/>
      <c r="CE863" s="8"/>
      <c r="CF863" s="8"/>
      <c r="CG863" s="9"/>
      <c r="CH863" s="8"/>
      <c r="CI863" s="8"/>
      <c r="CJ863" s="8"/>
      <c r="CK863" s="8"/>
      <c r="CL863" s="8"/>
      <c r="CM863" s="8"/>
      <c r="CN863" s="8"/>
      <c r="CO863" s="8"/>
      <c r="CP863" s="8"/>
      <c r="CQ863" s="9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8"/>
      <c r="DC863" s="8"/>
      <c r="DD863" s="8"/>
      <c r="DE863" s="8"/>
      <c r="DF863" s="9"/>
      <c r="DG863" s="9"/>
      <c r="DH863" s="10"/>
      <c r="DI863" s="9"/>
      <c r="DJ863" s="9"/>
      <c r="DK863" s="3"/>
      <c r="DL863" s="3"/>
      <c r="DM863" s="3"/>
    </row>
    <row r="864" ht="11.25" customHeight="1">
      <c r="A864" s="3"/>
      <c r="B864" s="2"/>
      <c r="C864" s="3"/>
      <c r="D864" s="3"/>
      <c r="E864" s="3"/>
      <c r="F864" s="4"/>
      <c r="G864" s="4"/>
      <c r="H864" s="4"/>
      <c r="I864" s="5"/>
      <c r="J864" s="4"/>
      <c r="K864" s="4"/>
      <c r="L864" s="6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3"/>
      <c r="AL864" s="3"/>
      <c r="AM864" s="3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8"/>
      <c r="BU864" s="8"/>
      <c r="BV864" s="8"/>
      <c r="BW864" s="8"/>
      <c r="BX864" s="3"/>
      <c r="BY864" s="3"/>
      <c r="BZ864" s="3"/>
      <c r="CA864" s="8"/>
      <c r="CB864" s="8"/>
      <c r="CC864" s="8"/>
      <c r="CD864" s="8"/>
      <c r="CE864" s="8"/>
      <c r="CF864" s="8"/>
      <c r="CG864" s="9"/>
      <c r="CH864" s="8"/>
      <c r="CI864" s="8"/>
      <c r="CJ864" s="8"/>
      <c r="CK864" s="8"/>
      <c r="CL864" s="8"/>
      <c r="CM864" s="8"/>
      <c r="CN864" s="8"/>
      <c r="CO864" s="8"/>
      <c r="CP864" s="8"/>
      <c r="CQ864" s="9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8"/>
      <c r="DC864" s="8"/>
      <c r="DD864" s="8"/>
      <c r="DE864" s="8"/>
      <c r="DF864" s="9"/>
      <c r="DG864" s="9"/>
      <c r="DH864" s="10"/>
      <c r="DI864" s="9"/>
      <c r="DJ864" s="9"/>
      <c r="DK864" s="3"/>
      <c r="DL864" s="3"/>
      <c r="DM864" s="3"/>
    </row>
    <row r="865" ht="11.25" customHeight="1">
      <c r="A865" s="3"/>
      <c r="B865" s="2"/>
      <c r="C865" s="3"/>
      <c r="D865" s="3"/>
      <c r="E865" s="3"/>
      <c r="F865" s="4"/>
      <c r="G865" s="4"/>
      <c r="H865" s="4"/>
      <c r="I865" s="5"/>
      <c r="J865" s="4"/>
      <c r="K865" s="4"/>
      <c r="L865" s="6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3"/>
      <c r="AL865" s="3"/>
      <c r="AM865" s="3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8"/>
      <c r="BU865" s="8"/>
      <c r="BV865" s="8"/>
      <c r="BW865" s="8"/>
      <c r="BX865" s="3"/>
      <c r="BY865" s="3"/>
      <c r="BZ865" s="3"/>
      <c r="CA865" s="8"/>
      <c r="CB865" s="8"/>
      <c r="CC865" s="8"/>
      <c r="CD865" s="8"/>
      <c r="CE865" s="8"/>
      <c r="CF865" s="8"/>
      <c r="CG865" s="9"/>
      <c r="CH865" s="8"/>
      <c r="CI865" s="8"/>
      <c r="CJ865" s="8"/>
      <c r="CK865" s="8"/>
      <c r="CL865" s="8"/>
      <c r="CM865" s="8"/>
      <c r="CN865" s="8"/>
      <c r="CO865" s="8"/>
      <c r="CP865" s="8"/>
      <c r="CQ865" s="9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8"/>
      <c r="DC865" s="8"/>
      <c r="DD865" s="8"/>
      <c r="DE865" s="8"/>
      <c r="DF865" s="9"/>
      <c r="DG865" s="9"/>
      <c r="DH865" s="10"/>
      <c r="DI865" s="9"/>
      <c r="DJ865" s="9"/>
      <c r="DK865" s="3"/>
      <c r="DL865" s="3"/>
      <c r="DM865" s="3"/>
    </row>
    <row r="866" ht="11.25" customHeight="1">
      <c r="A866" s="3"/>
      <c r="B866" s="2"/>
      <c r="C866" s="3"/>
      <c r="D866" s="3"/>
      <c r="E866" s="3"/>
      <c r="F866" s="4"/>
      <c r="G866" s="4"/>
      <c r="H866" s="4"/>
      <c r="I866" s="5"/>
      <c r="J866" s="4"/>
      <c r="K866" s="4"/>
      <c r="L866" s="6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3"/>
      <c r="AL866" s="3"/>
      <c r="AM866" s="3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8"/>
      <c r="BU866" s="8"/>
      <c r="BV866" s="8"/>
      <c r="BW866" s="8"/>
      <c r="BX866" s="3"/>
      <c r="BY866" s="3"/>
      <c r="BZ866" s="3"/>
      <c r="CA866" s="8"/>
      <c r="CB866" s="8"/>
      <c r="CC866" s="8"/>
      <c r="CD866" s="8"/>
      <c r="CE866" s="8"/>
      <c r="CF866" s="8"/>
      <c r="CG866" s="9"/>
      <c r="CH866" s="8"/>
      <c r="CI866" s="8"/>
      <c r="CJ866" s="8"/>
      <c r="CK866" s="8"/>
      <c r="CL866" s="8"/>
      <c r="CM866" s="8"/>
      <c r="CN866" s="8"/>
      <c r="CO866" s="8"/>
      <c r="CP866" s="8"/>
      <c r="CQ866" s="9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8"/>
      <c r="DC866" s="8"/>
      <c r="DD866" s="8"/>
      <c r="DE866" s="8"/>
      <c r="DF866" s="9"/>
      <c r="DG866" s="9"/>
      <c r="DH866" s="10"/>
      <c r="DI866" s="9"/>
      <c r="DJ866" s="9"/>
      <c r="DK866" s="3"/>
      <c r="DL866" s="3"/>
      <c r="DM866" s="3"/>
    </row>
    <row r="867" ht="11.25" customHeight="1">
      <c r="A867" s="3"/>
      <c r="B867" s="2"/>
      <c r="C867" s="3"/>
      <c r="D867" s="3"/>
      <c r="E867" s="3"/>
      <c r="F867" s="4"/>
      <c r="G867" s="4"/>
      <c r="H867" s="4"/>
      <c r="I867" s="5"/>
      <c r="J867" s="4"/>
      <c r="K867" s="4"/>
      <c r="L867" s="6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3"/>
      <c r="AL867" s="3"/>
      <c r="AM867" s="3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8"/>
      <c r="BU867" s="8"/>
      <c r="BV867" s="8"/>
      <c r="BW867" s="8"/>
      <c r="BX867" s="3"/>
      <c r="BY867" s="3"/>
      <c r="BZ867" s="3"/>
      <c r="CA867" s="8"/>
      <c r="CB867" s="8"/>
      <c r="CC867" s="8"/>
      <c r="CD867" s="8"/>
      <c r="CE867" s="8"/>
      <c r="CF867" s="8"/>
      <c r="CG867" s="9"/>
      <c r="CH867" s="8"/>
      <c r="CI867" s="8"/>
      <c r="CJ867" s="8"/>
      <c r="CK867" s="8"/>
      <c r="CL867" s="8"/>
      <c r="CM867" s="8"/>
      <c r="CN867" s="8"/>
      <c r="CO867" s="8"/>
      <c r="CP867" s="8"/>
      <c r="CQ867" s="9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8"/>
      <c r="DC867" s="8"/>
      <c r="DD867" s="8"/>
      <c r="DE867" s="8"/>
      <c r="DF867" s="9"/>
      <c r="DG867" s="9"/>
      <c r="DH867" s="10"/>
      <c r="DI867" s="9"/>
      <c r="DJ867" s="9"/>
      <c r="DK867" s="3"/>
      <c r="DL867" s="3"/>
      <c r="DM867" s="3"/>
    </row>
    <row r="868" ht="11.25" customHeight="1">
      <c r="A868" s="3"/>
      <c r="B868" s="2"/>
      <c r="C868" s="3"/>
      <c r="D868" s="3"/>
      <c r="E868" s="3"/>
      <c r="F868" s="4"/>
      <c r="G868" s="4"/>
      <c r="H868" s="4"/>
      <c r="I868" s="5"/>
      <c r="J868" s="4"/>
      <c r="K868" s="4"/>
      <c r="L868" s="6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3"/>
      <c r="AL868" s="3"/>
      <c r="AM868" s="3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8"/>
      <c r="BU868" s="8"/>
      <c r="BV868" s="8"/>
      <c r="BW868" s="8"/>
      <c r="BX868" s="3"/>
      <c r="BY868" s="3"/>
      <c r="BZ868" s="3"/>
      <c r="CA868" s="8"/>
      <c r="CB868" s="8"/>
      <c r="CC868" s="8"/>
      <c r="CD868" s="8"/>
      <c r="CE868" s="8"/>
      <c r="CF868" s="8"/>
      <c r="CG868" s="9"/>
      <c r="CH868" s="8"/>
      <c r="CI868" s="8"/>
      <c r="CJ868" s="8"/>
      <c r="CK868" s="8"/>
      <c r="CL868" s="8"/>
      <c r="CM868" s="8"/>
      <c r="CN868" s="8"/>
      <c r="CO868" s="8"/>
      <c r="CP868" s="8"/>
      <c r="CQ868" s="9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8"/>
      <c r="DC868" s="8"/>
      <c r="DD868" s="8"/>
      <c r="DE868" s="8"/>
      <c r="DF868" s="9"/>
      <c r="DG868" s="9"/>
      <c r="DH868" s="10"/>
      <c r="DI868" s="9"/>
      <c r="DJ868" s="9"/>
      <c r="DK868" s="3"/>
      <c r="DL868" s="3"/>
      <c r="DM868" s="3"/>
    </row>
    <row r="869" ht="11.25" customHeight="1">
      <c r="A869" s="3"/>
      <c r="B869" s="2"/>
      <c r="C869" s="3"/>
      <c r="D869" s="3"/>
      <c r="E869" s="3"/>
      <c r="F869" s="4"/>
      <c r="G869" s="4"/>
      <c r="H869" s="4"/>
      <c r="I869" s="5"/>
      <c r="J869" s="4"/>
      <c r="K869" s="4"/>
      <c r="L869" s="6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3"/>
      <c r="AL869" s="3"/>
      <c r="AM869" s="3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8"/>
      <c r="BU869" s="8"/>
      <c r="BV869" s="8"/>
      <c r="BW869" s="8"/>
      <c r="BX869" s="3"/>
      <c r="BY869" s="3"/>
      <c r="BZ869" s="3"/>
      <c r="CA869" s="8"/>
      <c r="CB869" s="8"/>
      <c r="CC869" s="8"/>
      <c r="CD869" s="8"/>
      <c r="CE869" s="8"/>
      <c r="CF869" s="8"/>
      <c r="CG869" s="9"/>
      <c r="CH869" s="8"/>
      <c r="CI869" s="8"/>
      <c r="CJ869" s="8"/>
      <c r="CK869" s="8"/>
      <c r="CL869" s="8"/>
      <c r="CM869" s="8"/>
      <c r="CN869" s="8"/>
      <c r="CO869" s="8"/>
      <c r="CP869" s="8"/>
      <c r="CQ869" s="9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C869" s="8"/>
      <c r="DD869" s="8"/>
      <c r="DE869" s="8"/>
      <c r="DF869" s="9"/>
      <c r="DG869" s="9"/>
      <c r="DH869" s="10"/>
      <c r="DI869" s="9"/>
      <c r="DJ869" s="9"/>
      <c r="DK869" s="3"/>
      <c r="DL869" s="3"/>
      <c r="DM869" s="3"/>
    </row>
    <row r="870" ht="11.25" customHeight="1">
      <c r="A870" s="3"/>
      <c r="B870" s="2"/>
      <c r="C870" s="3"/>
      <c r="D870" s="3"/>
      <c r="E870" s="3"/>
      <c r="F870" s="4"/>
      <c r="G870" s="4"/>
      <c r="H870" s="4"/>
      <c r="I870" s="5"/>
      <c r="J870" s="4"/>
      <c r="K870" s="4"/>
      <c r="L870" s="6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3"/>
      <c r="AL870" s="3"/>
      <c r="AM870" s="3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8"/>
      <c r="BU870" s="8"/>
      <c r="BV870" s="8"/>
      <c r="BW870" s="8"/>
      <c r="BX870" s="3"/>
      <c r="BY870" s="3"/>
      <c r="BZ870" s="3"/>
      <c r="CA870" s="8"/>
      <c r="CB870" s="8"/>
      <c r="CC870" s="8"/>
      <c r="CD870" s="8"/>
      <c r="CE870" s="8"/>
      <c r="CF870" s="8"/>
      <c r="CG870" s="9"/>
      <c r="CH870" s="8"/>
      <c r="CI870" s="8"/>
      <c r="CJ870" s="8"/>
      <c r="CK870" s="8"/>
      <c r="CL870" s="8"/>
      <c r="CM870" s="8"/>
      <c r="CN870" s="8"/>
      <c r="CO870" s="8"/>
      <c r="CP870" s="8"/>
      <c r="CQ870" s="9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8"/>
      <c r="DC870" s="8"/>
      <c r="DD870" s="8"/>
      <c r="DE870" s="8"/>
      <c r="DF870" s="9"/>
      <c r="DG870" s="9"/>
      <c r="DH870" s="10"/>
      <c r="DI870" s="9"/>
      <c r="DJ870" s="9"/>
      <c r="DK870" s="3"/>
      <c r="DL870" s="3"/>
      <c r="DM870" s="3"/>
    </row>
    <row r="871" ht="11.25" customHeight="1">
      <c r="A871" s="3"/>
      <c r="B871" s="2"/>
      <c r="C871" s="3"/>
      <c r="D871" s="3"/>
      <c r="E871" s="3"/>
      <c r="F871" s="4"/>
      <c r="G871" s="4"/>
      <c r="H871" s="4"/>
      <c r="I871" s="5"/>
      <c r="J871" s="4"/>
      <c r="K871" s="4"/>
      <c r="L871" s="6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3"/>
      <c r="AL871" s="3"/>
      <c r="AM871" s="3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8"/>
      <c r="BU871" s="8"/>
      <c r="BV871" s="8"/>
      <c r="BW871" s="8"/>
      <c r="BX871" s="3"/>
      <c r="BY871" s="3"/>
      <c r="BZ871" s="3"/>
      <c r="CA871" s="8"/>
      <c r="CB871" s="8"/>
      <c r="CC871" s="8"/>
      <c r="CD871" s="8"/>
      <c r="CE871" s="8"/>
      <c r="CF871" s="8"/>
      <c r="CG871" s="9"/>
      <c r="CH871" s="8"/>
      <c r="CI871" s="8"/>
      <c r="CJ871" s="8"/>
      <c r="CK871" s="8"/>
      <c r="CL871" s="8"/>
      <c r="CM871" s="8"/>
      <c r="CN871" s="8"/>
      <c r="CO871" s="8"/>
      <c r="CP871" s="8"/>
      <c r="CQ871" s="9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8"/>
      <c r="DC871" s="8"/>
      <c r="DD871" s="8"/>
      <c r="DE871" s="8"/>
      <c r="DF871" s="9"/>
      <c r="DG871" s="9"/>
      <c r="DH871" s="10"/>
      <c r="DI871" s="9"/>
      <c r="DJ871" s="9"/>
      <c r="DK871" s="3"/>
      <c r="DL871" s="3"/>
      <c r="DM871" s="3"/>
    </row>
    <row r="872" ht="11.25" customHeight="1">
      <c r="A872" s="3"/>
      <c r="B872" s="2"/>
      <c r="C872" s="3"/>
      <c r="D872" s="3"/>
      <c r="E872" s="3"/>
      <c r="F872" s="4"/>
      <c r="G872" s="4"/>
      <c r="H872" s="4"/>
      <c r="I872" s="5"/>
      <c r="J872" s="4"/>
      <c r="K872" s="4"/>
      <c r="L872" s="6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3"/>
      <c r="AL872" s="3"/>
      <c r="AM872" s="3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8"/>
      <c r="BU872" s="8"/>
      <c r="BV872" s="8"/>
      <c r="BW872" s="8"/>
      <c r="BX872" s="3"/>
      <c r="BY872" s="3"/>
      <c r="BZ872" s="3"/>
      <c r="CA872" s="8"/>
      <c r="CB872" s="8"/>
      <c r="CC872" s="8"/>
      <c r="CD872" s="8"/>
      <c r="CE872" s="8"/>
      <c r="CF872" s="8"/>
      <c r="CG872" s="9"/>
      <c r="CH872" s="8"/>
      <c r="CI872" s="8"/>
      <c r="CJ872" s="8"/>
      <c r="CK872" s="8"/>
      <c r="CL872" s="8"/>
      <c r="CM872" s="8"/>
      <c r="CN872" s="8"/>
      <c r="CO872" s="8"/>
      <c r="CP872" s="8"/>
      <c r="CQ872" s="9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8"/>
      <c r="DC872" s="8"/>
      <c r="DD872" s="8"/>
      <c r="DE872" s="8"/>
      <c r="DF872" s="9"/>
      <c r="DG872" s="9"/>
      <c r="DH872" s="10"/>
      <c r="DI872" s="9"/>
      <c r="DJ872" s="9"/>
      <c r="DK872" s="3"/>
      <c r="DL872" s="3"/>
      <c r="DM872" s="3"/>
    </row>
    <row r="873" ht="11.25" customHeight="1">
      <c r="A873" s="3"/>
      <c r="B873" s="2"/>
      <c r="C873" s="3"/>
      <c r="D873" s="3"/>
      <c r="E873" s="3"/>
      <c r="F873" s="4"/>
      <c r="G873" s="4"/>
      <c r="H873" s="4"/>
      <c r="I873" s="5"/>
      <c r="J873" s="4"/>
      <c r="K873" s="4"/>
      <c r="L873" s="6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3"/>
      <c r="AL873" s="3"/>
      <c r="AM873" s="3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8"/>
      <c r="BU873" s="8"/>
      <c r="BV873" s="8"/>
      <c r="BW873" s="8"/>
      <c r="BX873" s="3"/>
      <c r="BY873" s="3"/>
      <c r="BZ873" s="3"/>
      <c r="CA873" s="8"/>
      <c r="CB873" s="8"/>
      <c r="CC873" s="8"/>
      <c r="CD873" s="8"/>
      <c r="CE873" s="8"/>
      <c r="CF873" s="8"/>
      <c r="CG873" s="9"/>
      <c r="CH873" s="8"/>
      <c r="CI873" s="8"/>
      <c r="CJ873" s="8"/>
      <c r="CK873" s="8"/>
      <c r="CL873" s="8"/>
      <c r="CM873" s="8"/>
      <c r="CN873" s="8"/>
      <c r="CO873" s="8"/>
      <c r="CP873" s="8"/>
      <c r="CQ873" s="9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8"/>
      <c r="DC873" s="8"/>
      <c r="DD873" s="8"/>
      <c r="DE873" s="8"/>
      <c r="DF873" s="9"/>
      <c r="DG873" s="9"/>
      <c r="DH873" s="10"/>
      <c r="DI873" s="9"/>
      <c r="DJ873" s="9"/>
      <c r="DK873" s="3"/>
      <c r="DL873" s="3"/>
      <c r="DM873" s="3"/>
    </row>
    <row r="874" ht="11.25" customHeight="1">
      <c r="A874" s="3"/>
      <c r="B874" s="2"/>
      <c r="C874" s="3"/>
      <c r="D874" s="3"/>
      <c r="E874" s="3"/>
      <c r="F874" s="4"/>
      <c r="G874" s="4"/>
      <c r="H874" s="4"/>
      <c r="I874" s="5"/>
      <c r="J874" s="4"/>
      <c r="K874" s="4"/>
      <c r="L874" s="6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3"/>
      <c r="AL874" s="3"/>
      <c r="AM874" s="3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8"/>
      <c r="BU874" s="8"/>
      <c r="BV874" s="8"/>
      <c r="BW874" s="8"/>
      <c r="BX874" s="3"/>
      <c r="BY874" s="3"/>
      <c r="BZ874" s="3"/>
      <c r="CA874" s="8"/>
      <c r="CB874" s="8"/>
      <c r="CC874" s="8"/>
      <c r="CD874" s="8"/>
      <c r="CE874" s="8"/>
      <c r="CF874" s="8"/>
      <c r="CG874" s="9"/>
      <c r="CH874" s="8"/>
      <c r="CI874" s="8"/>
      <c r="CJ874" s="8"/>
      <c r="CK874" s="8"/>
      <c r="CL874" s="8"/>
      <c r="CM874" s="8"/>
      <c r="CN874" s="8"/>
      <c r="CO874" s="8"/>
      <c r="CP874" s="8"/>
      <c r="CQ874" s="9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8"/>
      <c r="DC874" s="8"/>
      <c r="DD874" s="8"/>
      <c r="DE874" s="8"/>
      <c r="DF874" s="9"/>
      <c r="DG874" s="9"/>
      <c r="DH874" s="10"/>
      <c r="DI874" s="9"/>
      <c r="DJ874" s="9"/>
      <c r="DK874" s="3"/>
      <c r="DL874" s="3"/>
      <c r="DM874" s="3"/>
    </row>
    <row r="875" ht="11.25" customHeight="1">
      <c r="A875" s="3"/>
      <c r="B875" s="2"/>
      <c r="C875" s="3"/>
      <c r="D875" s="3"/>
      <c r="E875" s="3"/>
      <c r="F875" s="4"/>
      <c r="G875" s="4"/>
      <c r="H875" s="4"/>
      <c r="I875" s="5"/>
      <c r="J875" s="4"/>
      <c r="K875" s="4"/>
      <c r="L875" s="6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3"/>
      <c r="AL875" s="3"/>
      <c r="AM875" s="3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8"/>
      <c r="BU875" s="8"/>
      <c r="BV875" s="8"/>
      <c r="BW875" s="8"/>
      <c r="BX875" s="3"/>
      <c r="BY875" s="3"/>
      <c r="BZ875" s="3"/>
      <c r="CA875" s="8"/>
      <c r="CB875" s="8"/>
      <c r="CC875" s="8"/>
      <c r="CD875" s="8"/>
      <c r="CE875" s="8"/>
      <c r="CF875" s="8"/>
      <c r="CG875" s="9"/>
      <c r="CH875" s="8"/>
      <c r="CI875" s="8"/>
      <c r="CJ875" s="8"/>
      <c r="CK875" s="8"/>
      <c r="CL875" s="8"/>
      <c r="CM875" s="8"/>
      <c r="CN875" s="8"/>
      <c r="CO875" s="8"/>
      <c r="CP875" s="8"/>
      <c r="CQ875" s="9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8"/>
      <c r="DC875" s="8"/>
      <c r="DD875" s="8"/>
      <c r="DE875" s="8"/>
      <c r="DF875" s="9"/>
      <c r="DG875" s="9"/>
      <c r="DH875" s="10"/>
      <c r="DI875" s="9"/>
      <c r="DJ875" s="9"/>
      <c r="DK875" s="3"/>
      <c r="DL875" s="3"/>
      <c r="DM875" s="3"/>
    </row>
    <row r="876" ht="11.25" customHeight="1">
      <c r="A876" s="3"/>
      <c r="B876" s="2"/>
      <c r="C876" s="3"/>
      <c r="D876" s="3"/>
      <c r="E876" s="3"/>
      <c r="F876" s="4"/>
      <c r="G876" s="4"/>
      <c r="H876" s="4"/>
      <c r="I876" s="5"/>
      <c r="J876" s="4"/>
      <c r="K876" s="4"/>
      <c r="L876" s="6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3"/>
      <c r="AL876" s="3"/>
      <c r="AM876" s="3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8"/>
      <c r="BU876" s="8"/>
      <c r="BV876" s="8"/>
      <c r="BW876" s="8"/>
      <c r="BX876" s="3"/>
      <c r="BY876" s="3"/>
      <c r="BZ876" s="3"/>
      <c r="CA876" s="8"/>
      <c r="CB876" s="8"/>
      <c r="CC876" s="8"/>
      <c r="CD876" s="8"/>
      <c r="CE876" s="8"/>
      <c r="CF876" s="8"/>
      <c r="CG876" s="9"/>
      <c r="CH876" s="8"/>
      <c r="CI876" s="8"/>
      <c r="CJ876" s="8"/>
      <c r="CK876" s="8"/>
      <c r="CL876" s="8"/>
      <c r="CM876" s="8"/>
      <c r="CN876" s="8"/>
      <c r="CO876" s="8"/>
      <c r="CP876" s="8"/>
      <c r="CQ876" s="9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8"/>
      <c r="DC876" s="8"/>
      <c r="DD876" s="8"/>
      <c r="DE876" s="8"/>
      <c r="DF876" s="9"/>
      <c r="DG876" s="9"/>
      <c r="DH876" s="10"/>
      <c r="DI876" s="9"/>
      <c r="DJ876" s="9"/>
      <c r="DK876" s="3"/>
      <c r="DL876" s="3"/>
      <c r="DM876" s="3"/>
    </row>
    <row r="877" ht="11.25" customHeight="1">
      <c r="A877" s="3"/>
      <c r="B877" s="2"/>
      <c r="C877" s="3"/>
      <c r="D877" s="3"/>
      <c r="E877" s="3"/>
      <c r="F877" s="4"/>
      <c r="G877" s="4"/>
      <c r="H877" s="4"/>
      <c r="I877" s="5"/>
      <c r="J877" s="4"/>
      <c r="K877" s="4"/>
      <c r="L877" s="6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3"/>
      <c r="AL877" s="3"/>
      <c r="AM877" s="3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8"/>
      <c r="BU877" s="8"/>
      <c r="BV877" s="8"/>
      <c r="BW877" s="8"/>
      <c r="BX877" s="3"/>
      <c r="BY877" s="3"/>
      <c r="BZ877" s="3"/>
      <c r="CA877" s="8"/>
      <c r="CB877" s="8"/>
      <c r="CC877" s="8"/>
      <c r="CD877" s="8"/>
      <c r="CE877" s="8"/>
      <c r="CF877" s="8"/>
      <c r="CG877" s="9"/>
      <c r="CH877" s="8"/>
      <c r="CI877" s="8"/>
      <c r="CJ877" s="8"/>
      <c r="CK877" s="8"/>
      <c r="CL877" s="8"/>
      <c r="CM877" s="8"/>
      <c r="CN877" s="8"/>
      <c r="CO877" s="8"/>
      <c r="CP877" s="8"/>
      <c r="CQ877" s="9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8"/>
      <c r="DC877" s="8"/>
      <c r="DD877" s="8"/>
      <c r="DE877" s="8"/>
      <c r="DF877" s="9"/>
      <c r="DG877" s="9"/>
      <c r="DH877" s="10"/>
      <c r="DI877" s="9"/>
      <c r="DJ877" s="9"/>
      <c r="DK877" s="3"/>
      <c r="DL877" s="3"/>
      <c r="DM877" s="3"/>
    </row>
    <row r="878" ht="11.25" customHeight="1">
      <c r="A878" s="3"/>
      <c r="B878" s="2"/>
      <c r="C878" s="3"/>
      <c r="D878" s="3"/>
      <c r="E878" s="3"/>
      <c r="F878" s="4"/>
      <c r="G878" s="4"/>
      <c r="H878" s="4"/>
      <c r="I878" s="5"/>
      <c r="J878" s="4"/>
      <c r="K878" s="4"/>
      <c r="L878" s="6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3"/>
      <c r="AL878" s="3"/>
      <c r="AM878" s="3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8"/>
      <c r="BU878" s="8"/>
      <c r="BV878" s="8"/>
      <c r="BW878" s="8"/>
      <c r="BX878" s="3"/>
      <c r="BY878" s="3"/>
      <c r="BZ878" s="3"/>
      <c r="CA878" s="8"/>
      <c r="CB878" s="8"/>
      <c r="CC878" s="8"/>
      <c r="CD878" s="8"/>
      <c r="CE878" s="8"/>
      <c r="CF878" s="8"/>
      <c r="CG878" s="9"/>
      <c r="CH878" s="8"/>
      <c r="CI878" s="8"/>
      <c r="CJ878" s="8"/>
      <c r="CK878" s="8"/>
      <c r="CL878" s="8"/>
      <c r="CM878" s="8"/>
      <c r="CN878" s="8"/>
      <c r="CO878" s="8"/>
      <c r="CP878" s="8"/>
      <c r="CQ878" s="9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8"/>
      <c r="DC878" s="8"/>
      <c r="DD878" s="8"/>
      <c r="DE878" s="8"/>
      <c r="DF878" s="9"/>
      <c r="DG878" s="9"/>
      <c r="DH878" s="10"/>
      <c r="DI878" s="9"/>
      <c r="DJ878" s="9"/>
      <c r="DK878" s="3"/>
      <c r="DL878" s="3"/>
      <c r="DM878" s="3"/>
    </row>
    <row r="879" ht="11.25" customHeight="1">
      <c r="A879" s="3"/>
      <c r="B879" s="2"/>
      <c r="C879" s="3"/>
      <c r="D879" s="3"/>
      <c r="E879" s="3"/>
      <c r="F879" s="4"/>
      <c r="G879" s="4"/>
      <c r="H879" s="4"/>
      <c r="I879" s="5"/>
      <c r="J879" s="4"/>
      <c r="K879" s="4"/>
      <c r="L879" s="6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3"/>
      <c r="AL879" s="3"/>
      <c r="AM879" s="3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8"/>
      <c r="BU879" s="8"/>
      <c r="BV879" s="8"/>
      <c r="BW879" s="8"/>
      <c r="BX879" s="3"/>
      <c r="BY879" s="3"/>
      <c r="BZ879" s="3"/>
      <c r="CA879" s="8"/>
      <c r="CB879" s="8"/>
      <c r="CC879" s="8"/>
      <c r="CD879" s="8"/>
      <c r="CE879" s="8"/>
      <c r="CF879" s="8"/>
      <c r="CG879" s="9"/>
      <c r="CH879" s="8"/>
      <c r="CI879" s="8"/>
      <c r="CJ879" s="8"/>
      <c r="CK879" s="8"/>
      <c r="CL879" s="8"/>
      <c r="CM879" s="8"/>
      <c r="CN879" s="8"/>
      <c r="CO879" s="8"/>
      <c r="CP879" s="8"/>
      <c r="CQ879" s="9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8"/>
      <c r="DC879" s="8"/>
      <c r="DD879" s="8"/>
      <c r="DE879" s="8"/>
      <c r="DF879" s="9"/>
      <c r="DG879" s="9"/>
      <c r="DH879" s="10"/>
      <c r="DI879" s="9"/>
      <c r="DJ879" s="9"/>
      <c r="DK879" s="3"/>
      <c r="DL879" s="3"/>
      <c r="DM879" s="3"/>
    </row>
    <row r="880" ht="11.25" customHeight="1">
      <c r="A880" s="3"/>
      <c r="B880" s="2"/>
      <c r="C880" s="3"/>
      <c r="D880" s="3"/>
      <c r="E880" s="3"/>
      <c r="F880" s="4"/>
      <c r="G880" s="4"/>
      <c r="H880" s="4"/>
      <c r="I880" s="5"/>
      <c r="J880" s="4"/>
      <c r="K880" s="4"/>
      <c r="L880" s="6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3"/>
      <c r="AL880" s="3"/>
      <c r="AM880" s="3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8"/>
      <c r="BU880" s="8"/>
      <c r="BV880" s="8"/>
      <c r="BW880" s="8"/>
      <c r="BX880" s="3"/>
      <c r="BY880" s="3"/>
      <c r="BZ880" s="3"/>
      <c r="CA880" s="8"/>
      <c r="CB880" s="8"/>
      <c r="CC880" s="8"/>
      <c r="CD880" s="8"/>
      <c r="CE880" s="8"/>
      <c r="CF880" s="8"/>
      <c r="CG880" s="9"/>
      <c r="CH880" s="8"/>
      <c r="CI880" s="8"/>
      <c r="CJ880" s="8"/>
      <c r="CK880" s="8"/>
      <c r="CL880" s="8"/>
      <c r="CM880" s="8"/>
      <c r="CN880" s="8"/>
      <c r="CO880" s="8"/>
      <c r="CP880" s="8"/>
      <c r="CQ880" s="9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8"/>
      <c r="DC880" s="8"/>
      <c r="DD880" s="8"/>
      <c r="DE880" s="8"/>
      <c r="DF880" s="9"/>
      <c r="DG880" s="9"/>
      <c r="DH880" s="10"/>
      <c r="DI880" s="9"/>
      <c r="DJ880" s="9"/>
      <c r="DK880" s="3"/>
      <c r="DL880" s="3"/>
      <c r="DM880" s="3"/>
    </row>
    <row r="881" ht="11.25" customHeight="1">
      <c r="A881" s="3"/>
      <c r="B881" s="2"/>
      <c r="C881" s="3"/>
      <c r="D881" s="3"/>
      <c r="E881" s="3"/>
      <c r="F881" s="4"/>
      <c r="G881" s="4"/>
      <c r="H881" s="4"/>
      <c r="I881" s="5"/>
      <c r="J881" s="4"/>
      <c r="K881" s="4"/>
      <c r="L881" s="6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3"/>
      <c r="AL881" s="3"/>
      <c r="AM881" s="3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8"/>
      <c r="BU881" s="8"/>
      <c r="BV881" s="8"/>
      <c r="BW881" s="8"/>
      <c r="BX881" s="3"/>
      <c r="BY881" s="3"/>
      <c r="BZ881" s="3"/>
      <c r="CA881" s="8"/>
      <c r="CB881" s="8"/>
      <c r="CC881" s="8"/>
      <c r="CD881" s="8"/>
      <c r="CE881" s="8"/>
      <c r="CF881" s="8"/>
      <c r="CG881" s="9"/>
      <c r="CH881" s="8"/>
      <c r="CI881" s="8"/>
      <c r="CJ881" s="8"/>
      <c r="CK881" s="8"/>
      <c r="CL881" s="8"/>
      <c r="CM881" s="8"/>
      <c r="CN881" s="8"/>
      <c r="CO881" s="8"/>
      <c r="CP881" s="8"/>
      <c r="CQ881" s="9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8"/>
      <c r="DC881" s="8"/>
      <c r="DD881" s="8"/>
      <c r="DE881" s="8"/>
      <c r="DF881" s="9"/>
      <c r="DG881" s="9"/>
      <c r="DH881" s="10"/>
      <c r="DI881" s="9"/>
      <c r="DJ881" s="9"/>
      <c r="DK881" s="3"/>
      <c r="DL881" s="3"/>
      <c r="DM881" s="3"/>
    </row>
    <row r="882" ht="11.25" customHeight="1">
      <c r="A882" s="3"/>
      <c r="B882" s="2"/>
      <c r="C882" s="3"/>
      <c r="D882" s="3"/>
      <c r="E882" s="3"/>
      <c r="F882" s="4"/>
      <c r="G882" s="4"/>
      <c r="H882" s="4"/>
      <c r="I882" s="5"/>
      <c r="J882" s="4"/>
      <c r="K882" s="4"/>
      <c r="L882" s="6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3"/>
      <c r="AL882" s="3"/>
      <c r="AM882" s="3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8"/>
      <c r="BU882" s="8"/>
      <c r="BV882" s="8"/>
      <c r="BW882" s="8"/>
      <c r="BX882" s="3"/>
      <c r="BY882" s="3"/>
      <c r="BZ882" s="3"/>
      <c r="CA882" s="8"/>
      <c r="CB882" s="8"/>
      <c r="CC882" s="8"/>
      <c r="CD882" s="8"/>
      <c r="CE882" s="8"/>
      <c r="CF882" s="8"/>
      <c r="CG882" s="9"/>
      <c r="CH882" s="8"/>
      <c r="CI882" s="8"/>
      <c r="CJ882" s="8"/>
      <c r="CK882" s="8"/>
      <c r="CL882" s="8"/>
      <c r="CM882" s="8"/>
      <c r="CN882" s="8"/>
      <c r="CO882" s="8"/>
      <c r="CP882" s="8"/>
      <c r="CQ882" s="9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8"/>
      <c r="DC882" s="8"/>
      <c r="DD882" s="8"/>
      <c r="DE882" s="8"/>
      <c r="DF882" s="9"/>
      <c r="DG882" s="9"/>
      <c r="DH882" s="10"/>
      <c r="DI882" s="9"/>
      <c r="DJ882" s="9"/>
      <c r="DK882" s="3"/>
      <c r="DL882" s="3"/>
      <c r="DM882" s="3"/>
    </row>
    <row r="883" ht="11.25" customHeight="1">
      <c r="A883" s="3"/>
      <c r="B883" s="2"/>
      <c r="C883" s="3"/>
      <c r="D883" s="3"/>
      <c r="E883" s="3"/>
      <c r="F883" s="4"/>
      <c r="G883" s="4"/>
      <c r="H883" s="4"/>
      <c r="I883" s="5"/>
      <c r="J883" s="4"/>
      <c r="K883" s="4"/>
      <c r="L883" s="6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3"/>
      <c r="AL883" s="3"/>
      <c r="AM883" s="3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8"/>
      <c r="BU883" s="8"/>
      <c r="BV883" s="8"/>
      <c r="BW883" s="8"/>
      <c r="BX883" s="3"/>
      <c r="BY883" s="3"/>
      <c r="BZ883" s="3"/>
      <c r="CA883" s="8"/>
      <c r="CB883" s="8"/>
      <c r="CC883" s="8"/>
      <c r="CD883" s="8"/>
      <c r="CE883" s="8"/>
      <c r="CF883" s="8"/>
      <c r="CG883" s="9"/>
      <c r="CH883" s="8"/>
      <c r="CI883" s="8"/>
      <c r="CJ883" s="8"/>
      <c r="CK883" s="8"/>
      <c r="CL883" s="8"/>
      <c r="CM883" s="8"/>
      <c r="CN883" s="8"/>
      <c r="CO883" s="8"/>
      <c r="CP883" s="8"/>
      <c r="CQ883" s="9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8"/>
      <c r="DC883" s="8"/>
      <c r="DD883" s="8"/>
      <c r="DE883" s="8"/>
      <c r="DF883" s="9"/>
      <c r="DG883" s="9"/>
      <c r="DH883" s="10"/>
      <c r="DI883" s="9"/>
      <c r="DJ883" s="9"/>
      <c r="DK883" s="3"/>
      <c r="DL883" s="3"/>
      <c r="DM883" s="3"/>
    </row>
    <row r="884" ht="11.25" customHeight="1">
      <c r="A884" s="3"/>
      <c r="B884" s="2"/>
      <c r="C884" s="3"/>
      <c r="D884" s="3"/>
      <c r="E884" s="3"/>
      <c r="F884" s="4"/>
      <c r="G884" s="4"/>
      <c r="H884" s="4"/>
      <c r="I884" s="5"/>
      <c r="J884" s="4"/>
      <c r="K884" s="4"/>
      <c r="L884" s="6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3"/>
      <c r="AL884" s="3"/>
      <c r="AM884" s="3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8"/>
      <c r="BU884" s="8"/>
      <c r="BV884" s="8"/>
      <c r="BW884" s="8"/>
      <c r="BX884" s="3"/>
      <c r="BY884" s="3"/>
      <c r="BZ884" s="3"/>
      <c r="CA884" s="8"/>
      <c r="CB884" s="8"/>
      <c r="CC884" s="8"/>
      <c r="CD884" s="8"/>
      <c r="CE884" s="8"/>
      <c r="CF884" s="8"/>
      <c r="CG884" s="9"/>
      <c r="CH884" s="8"/>
      <c r="CI884" s="8"/>
      <c r="CJ884" s="8"/>
      <c r="CK884" s="8"/>
      <c r="CL884" s="8"/>
      <c r="CM884" s="8"/>
      <c r="CN884" s="8"/>
      <c r="CO884" s="8"/>
      <c r="CP884" s="8"/>
      <c r="CQ884" s="9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8"/>
      <c r="DC884" s="8"/>
      <c r="DD884" s="8"/>
      <c r="DE884" s="8"/>
      <c r="DF884" s="9"/>
      <c r="DG884" s="9"/>
      <c r="DH884" s="10"/>
      <c r="DI884" s="9"/>
      <c r="DJ884" s="9"/>
      <c r="DK884" s="3"/>
      <c r="DL884" s="3"/>
      <c r="DM884" s="3"/>
    </row>
    <row r="885" ht="11.25" customHeight="1">
      <c r="A885" s="3"/>
      <c r="B885" s="2"/>
      <c r="C885" s="3"/>
      <c r="D885" s="3"/>
      <c r="E885" s="3"/>
      <c r="F885" s="4"/>
      <c r="G885" s="4"/>
      <c r="H885" s="4"/>
      <c r="I885" s="5"/>
      <c r="J885" s="4"/>
      <c r="K885" s="4"/>
      <c r="L885" s="6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3"/>
      <c r="AL885" s="3"/>
      <c r="AM885" s="3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8"/>
      <c r="BU885" s="8"/>
      <c r="BV885" s="8"/>
      <c r="BW885" s="8"/>
      <c r="BX885" s="3"/>
      <c r="BY885" s="3"/>
      <c r="BZ885" s="3"/>
      <c r="CA885" s="8"/>
      <c r="CB885" s="8"/>
      <c r="CC885" s="8"/>
      <c r="CD885" s="8"/>
      <c r="CE885" s="8"/>
      <c r="CF885" s="8"/>
      <c r="CG885" s="9"/>
      <c r="CH885" s="8"/>
      <c r="CI885" s="8"/>
      <c r="CJ885" s="8"/>
      <c r="CK885" s="8"/>
      <c r="CL885" s="8"/>
      <c r="CM885" s="8"/>
      <c r="CN885" s="8"/>
      <c r="CO885" s="8"/>
      <c r="CP885" s="8"/>
      <c r="CQ885" s="9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8"/>
      <c r="DC885" s="8"/>
      <c r="DD885" s="8"/>
      <c r="DE885" s="8"/>
      <c r="DF885" s="9"/>
      <c r="DG885" s="9"/>
      <c r="DH885" s="10"/>
      <c r="DI885" s="9"/>
      <c r="DJ885" s="9"/>
      <c r="DK885" s="3"/>
      <c r="DL885" s="3"/>
      <c r="DM885" s="3"/>
    </row>
    <row r="886" ht="11.25" customHeight="1">
      <c r="A886" s="3"/>
      <c r="B886" s="2"/>
      <c r="C886" s="3"/>
      <c r="D886" s="3"/>
      <c r="E886" s="3"/>
      <c r="F886" s="4"/>
      <c r="G886" s="4"/>
      <c r="H886" s="4"/>
      <c r="I886" s="5"/>
      <c r="J886" s="4"/>
      <c r="K886" s="4"/>
      <c r="L886" s="6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3"/>
      <c r="AL886" s="3"/>
      <c r="AM886" s="3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8"/>
      <c r="BU886" s="8"/>
      <c r="BV886" s="8"/>
      <c r="BW886" s="8"/>
      <c r="BX886" s="3"/>
      <c r="BY886" s="3"/>
      <c r="BZ886" s="3"/>
      <c r="CA886" s="8"/>
      <c r="CB886" s="8"/>
      <c r="CC886" s="8"/>
      <c r="CD886" s="8"/>
      <c r="CE886" s="8"/>
      <c r="CF886" s="8"/>
      <c r="CG886" s="9"/>
      <c r="CH886" s="8"/>
      <c r="CI886" s="8"/>
      <c r="CJ886" s="8"/>
      <c r="CK886" s="8"/>
      <c r="CL886" s="8"/>
      <c r="CM886" s="8"/>
      <c r="CN886" s="8"/>
      <c r="CO886" s="8"/>
      <c r="CP886" s="8"/>
      <c r="CQ886" s="9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8"/>
      <c r="DC886" s="8"/>
      <c r="DD886" s="8"/>
      <c r="DE886" s="8"/>
      <c r="DF886" s="9"/>
      <c r="DG886" s="9"/>
      <c r="DH886" s="10"/>
      <c r="DI886" s="9"/>
      <c r="DJ886" s="9"/>
      <c r="DK886" s="3"/>
      <c r="DL886" s="3"/>
      <c r="DM886" s="3"/>
    </row>
    <row r="887" ht="11.25" customHeight="1">
      <c r="A887" s="3"/>
      <c r="B887" s="2"/>
      <c r="C887" s="3"/>
      <c r="D887" s="3"/>
      <c r="E887" s="3"/>
      <c r="F887" s="4"/>
      <c r="G887" s="4"/>
      <c r="H887" s="4"/>
      <c r="I887" s="5"/>
      <c r="J887" s="4"/>
      <c r="K887" s="4"/>
      <c r="L887" s="6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3"/>
      <c r="AL887" s="3"/>
      <c r="AM887" s="3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8"/>
      <c r="BU887" s="8"/>
      <c r="BV887" s="8"/>
      <c r="BW887" s="8"/>
      <c r="BX887" s="3"/>
      <c r="BY887" s="3"/>
      <c r="BZ887" s="3"/>
      <c r="CA887" s="8"/>
      <c r="CB887" s="8"/>
      <c r="CC887" s="8"/>
      <c r="CD887" s="8"/>
      <c r="CE887" s="8"/>
      <c r="CF887" s="8"/>
      <c r="CG887" s="9"/>
      <c r="CH887" s="8"/>
      <c r="CI887" s="8"/>
      <c r="CJ887" s="8"/>
      <c r="CK887" s="8"/>
      <c r="CL887" s="8"/>
      <c r="CM887" s="8"/>
      <c r="CN887" s="8"/>
      <c r="CO887" s="8"/>
      <c r="CP887" s="8"/>
      <c r="CQ887" s="9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8"/>
      <c r="DC887" s="8"/>
      <c r="DD887" s="8"/>
      <c r="DE887" s="8"/>
      <c r="DF887" s="9"/>
      <c r="DG887" s="9"/>
      <c r="DH887" s="10"/>
      <c r="DI887" s="9"/>
      <c r="DJ887" s="9"/>
      <c r="DK887" s="3"/>
      <c r="DL887" s="3"/>
      <c r="DM887" s="3"/>
    </row>
    <row r="888" ht="11.25" customHeight="1">
      <c r="A888" s="3"/>
      <c r="B888" s="2"/>
      <c r="C888" s="3"/>
      <c r="D888" s="3"/>
      <c r="E888" s="3"/>
      <c r="F888" s="4"/>
      <c r="G888" s="4"/>
      <c r="H888" s="4"/>
      <c r="I888" s="5"/>
      <c r="J888" s="4"/>
      <c r="K888" s="4"/>
      <c r="L888" s="6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3"/>
      <c r="AL888" s="3"/>
      <c r="AM888" s="3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8"/>
      <c r="BU888" s="8"/>
      <c r="BV888" s="8"/>
      <c r="BW888" s="8"/>
      <c r="BX888" s="3"/>
      <c r="BY888" s="3"/>
      <c r="BZ888" s="3"/>
      <c r="CA888" s="8"/>
      <c r="CB888" s="8"/>
      <c r="CC888" s="8"/>
      <c r="CD888" s="8"/>
      <c r="CE888" s="8"/>
      <c r="CF888" s="8"/>
      <c r="CG888" s="9"/>
      <c r="CH888" s="8"/>
      <c r="CI888" s="8"/>
      <c r="CJ888" s="8"/>
      <c r="CK888" s="8"/>
      <c r="CL888" s="8"/>
      <c r="CM888" s="8"/>
      <c r="CN888" s="8"/>
      <c r="CO888" s="8"/>
      <c r="CP888" s="8"/>
      <c r="CQ888" s="9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8"/>
      <c r="DC888" s="8"/>
      <c r="DD888" s="8"/>
      <c r="DE888" s="8"/>
      <c r="DF888" s="9"/>
      <c r="DG888" s="9"/>
      <c r="DH888" s="10"/>
      <c r="DI888" s="9"/>
      <c r="DJ888" s="9"/>
      <c r="DK888" s="3"/>
      <c r="DL888" s="3"/>
      <c r="DM888" s="3"/>
    </row>
    <row r="889" ht="11.25" customHeight="1">
      <c r="A889" s="3"/>
      <c r="B889" s="2"/>
      <c r="C889" s="3"/>
      <c r="D889" s="3"/>
      <c r="E889" s="3"/>
      <c r="F889" s="4"/>
      <c r="G889" s="4"/>
      <c r="H889" s="4"/>
      <c r="I889" s="5"/>
      <c r="J889" s="4"/>
      <c r="K889" s="4"/>
      <c r="L889" s="6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3"/>
      <c r="AL889" s="3"/>
      <c r="AM889" s="3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8"/>
      <c r="BU889" s="8"/>
      <c r="BV889" s="8"/>
      <c r="BW889" s="8"/>
      <c r="BX889" s="3"/>
      <c r="BY889" s="3"/>
      <c r="BZ889" s="3"/>
      <c r="CA889" s="8"/>
      <c r="CB889" s="8"/>
      <c r="CC889" s="8"/>
      <c r="CD889" s="8"/>
      <c r="CE889" s="8"/>
      <c r="CF889" s="8"/>
      <c r="CG889" s="9"/>
      <c r="CH889" s="8"/>
      <c r="CI889" s="8"/>
      <c r="CJ889" s="8"/>
      <c r="CK889" s="8"/>
      <c r="CL889" s="8"/>
      <c r="CM889" s="8"/>
      <c r="CN889" s="8"/>
      <c r="CO889" s="8"/>
      <c r="CP889" s="8"/>
      <c r="CQ889" s="9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8"/>
      <c r="DC889" s="8"/>
      <c r="DD889" s="8"/>
      <c r="DE889" s="8"/>
      <c r="DF889" s="9"/>
      <c r="DG889" s="9"/>
      <c r="DH889" s="10"/>
      <c r="DI889" s="9"/>
      <c r="DJ889" s="9"/>
      <c r="DK889" s="3"/>
      <c r="DL889" s="3"/>
      <c r="DM889" s="3"/>
    </row>
    <row r="890" ht="11.25" customHeight="1">
      <c r="A890" s="3"/>
      <c r="B890" s="2"/>
      <c r="C890" s="3"/>
      <c r="D890" s="3"/>
      <c r="E890" s="3"/>
      <c r="F890" s="4"/>
      <c r="G890" s="4"/>
      <c r="H890" s="4"/>
      <c r="I890" s="5"/>
      <c r="J890" s="4"/>
      <c r="K890" s="4"/>
      <c r="L890" s="6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3"/>
      <c r="AL890" s="3"/>
      <c r="AM890" s="3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8"/>
      <c r="BU890" s="8"/>
      <c r="BV890" s="8"/>
      <c r="BW890" s="8"/>
      <c r="BX890" s="3"/>
      <c r="BY890" s="3"/>
      <c r="BZ890" s="3"/>
      <c r="CA890" s="8"/>
      <c r="CB890" s="8"/>
      <c r="CC890" s="8"/>
      <c r="CD890" s="8"/>
      <c r="CE890" s="8"/>
      <c r="CF890" s="8"/>
      <c r="CG890" s="9"/>
      <c r="CH890" s="8"/>
      <c r="CI890" s="8"/>
      <c r="CJ890" s="8"/>
      <c r="CK890" s="8"/>
      <c r="CL890" s="8"/>
      <c r="CM890" s="8"/>
      <c r="CN890" s="8"/>
      <c r="CO890" s="8"/>
      <c r="CP890" s="8"/>
      <c r="CQ890" s="9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8"/>
      <c r="DC890" s="8"/>
      <c r="DD890" s="8"/>
      <c r="DE890" s="8"/>
      <c r="DF890" s="9"/>
      <c r="DG890" s="9"/>
      <c r="DH890" s="10"/>
      <c r="DI890" s="9"/>
      <c r="DJ890" s="9"/>
      <c r="DK890" s="3"/>
      <c r="DL890" s="3"/>
      <c r="DM890" s="3"/>
    </row>
    <row r="891" ht="11.25" customHeight="1">
      <c r="A891" s="3"/>
      <c r="B891" s="2"/>
      <c r="C891" s="3"/>
      <c r="D891" s="3"/>
      <c r="E891" s="3"/>
      <c r="F891" s="4"/>
      <c r="G891" s="4"/>
      <c r="H891" s="4"/>
      <c r="I891" s="5"/>
      <c r="J891" s="4"/>
      <c r="K891" s="4"/>
      <c r="L891" s="6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3"/>
      <c r="AL891" s="3"/>
      <c r="AM891" s="3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8"/>
      <c r="BU891" s="8"/>
      <c r="BV891" s="8"/>
      <c r="BW891" s="8"/>
      <c r="BX891" s="3"/>
      <c r="BY891" s="3"/>
      <c r="BZ891" s="3"/>
      <c r="CA891" s="8"/>
      <c r="CB891" s="8"/>
      <c r="CC891" s="8"/>
      <c r="CD891" s="8"/>
      <c r="CE891" s="8"/>
      <c r="CF891" s="8"/>
      <c r="CG891" s="9"/>
      <c r="CH891" s="8"/>
      <c r="CI891" s="8"/>
      <c r="CJ891" s="8"/>
      <c r="CK891" s="8"/>
      <c r="CL891" s="8"/>
      <c r="CM891" s="8"/>
      <c r="CN891" s="8"/>
      <c r="CO891" s="8"/>
      <c r="CP891" s="8"/>
      <c r="CQ891" s="9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8"/>
      <c r="DC891" s="8"/>
      <c r="DD891" s="8"/>
      <c r="DE891" s="8"/>
      <c r="DF891" s="9"/>
      <c r="DG891" s="9"/>
      <c r="DH891" s="10"/>
      <c r="DI891" s="9"/>
      <c r="DJ891" s="9"/>
      <c r="DK891" s="3"/>
      <c r="DL891" s="3"/>
      <c r="DM891" s="3"/>
    </row>
    <row r="892" ht="11.25" customHeight="1">
      <c r="A892" s="3"/>
      <c r="B892" s="2"/>
      <c r="C892" s="3"/>
      <c r="D892" s="3"/>
      <c r="E892" s="3"/>
      <c r="F892" s="4"/>
      <c r="G892" s="4"/>
      <c r="H892" s="4"/>
      <c r="I892" s="5"/>
      <c r="J892" s="4"/>
      <c r="K892" s="4"/>
      <c r="L892" s="6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3"/>
      <c r="AL892" s="3"/>
      <c r="AM892" s="3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8"/>
      <c r="BU892" s="8"/>
      <c r="BV892" s="8"/>
      <c r="BW892" s="8"/>
      <c r="BX892" s="3"/>
      <c r="BY892" s="3"/>
      <c r="BZ892" s="3"/>
      <c r="CA892" s="8"/>
      <c r="CB892" s="8"/>
      <c r="CC892" s="8"/>
      <c r="CD892" s="8"/>
      <c r="CE892" s="8"/>
      <c r="CF892" s="8"/>
      <c r="CG892" s="9"/>
      <c r="CH892" s="8"/>
      <c r="CI892" s="8"/>
      <c r="CJ892" s="8"/>
      <c r="CK892" s="8"/>
      <c r="CL892" s="8"/>
      <c r="CM892" s="8"/>
      <c r="CN892" s="8"/>
      <c r="CO892" s="8"/>
      <c r="CP892" s="8"/>
      <c r="CQ892" s="9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8"/>
      <c r="DC892" s="8"/>
      <c r="DD892" s="8"/>
      <c r="DE892" s="8"/>
      <c r="DF892" s="9"/>
      <c r="DG892" s="9"/>
      <c r="DH892" s="10"/>
      <c r="DI892" s="9"/>
      <c r="DJ892" s="9"/>
      <c r="DK892" s="3"/>
      <c r="DL892" s="3"/>
      <c r="DM892" s="3"/>
    </row>
    <row r="893" ht="11.25" customHeight="1">
      <c r="A893" s="3"/>
      <c r="B893" s="2"/>
      <c r="C893" s="3"/>
      <c r="D893" s="3"/>
      <c r="E893" s="3"/>
      <c r="F893" s="4"/>
      <c r="G893" s="4"/>
      <c r="H893" s="4"/>
      <c r="I893" s="5"/>
      <c r="J893" s="4"/>
      <c r="K893" s="4"/>
      <c r="L893" s="6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3"/>
      <c r="AL893" s="3"/>
      <c r="AM893" s="3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8"/>
      <c r="BU893" s="8"/>
      <c r="BV893" s="8"/>
      <c r="BW893" s="8"/>
      <c r="BX893" s="3"/>
      <c r="BY893" s="3"/>
      <c r="BZ893" s="3"/>
      <c r="CA893" s="8"/>
      <c r="CB893" s="8"/>
      <c r="CC893" s="8"/>
      <c r="CD893" s="8"/>
      <c r="CE893" s="8"/>
      <c r="CF893" s="8"/>
      <c r="CG893" s="9"/>
      <c r="CH893" s="8"/>
      <c r="CI893" s="8"/>
      <c r="CJ893" s="8"/>
      <c r="CK893" s="8"/>
      <c r="CL893" s="8"/>
      <c r="CM893" s="8"/>
      <c r="CN893" s="8"/>
      <c r="CO893" s="8"/>
      <c r="CP893" s="8"/>
      <c r="CQ893" s="9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8"/>
      <c r="DC893" s="8"/>
      <c r="DD893" s="8"/>
      <c r="DE893" s="8"/>
      <c r="DF893" s="9"/>
      <c r="DG893" s="9"/>
      <c r="DH893" s="10"/>
      <c r="DI893" s="9"/>
      <c r="DJ893" s="9"/>
      <c r="DK893" s="3"/>
      <c r="DL893" s="3"/>
      <c r="DM893" s="3"/>
    </row>
    <row r="894" ht="11.25" customHeight="1">
      <c r="A894" s="3"/>
      <c r="B894" s="2"/>
      <c r="C894" s="3"/>
      <c r="D894" s="3"/>
      <c r="E894" s="3"/>
      <c r="F894" s="4"/>
      <c r="G894" s="4"/>
      <c r="H894" s="4"/>
      <c r="I894" s="5"/>
      <c r="J894" s="4"/>
      <c r="K894" s="4"/>
      <c r="L894" s="6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3"/>
      <c r="AL894" s="3"/>
      <c r="AM894" s="3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8"/>
      <c r="BU894" s="8"/>
      <c r="BV894" s="8"/>
      <c r="BW894" s="8"/>
      <c r="BX894" s="3"/>
      <c r="BY894" s="3"/>
      <c r="BZ894" s="3"/>
      <c r="CA894" s="8"/>
      <c r="CB894" s="8"/>
      <c r="CC894" s="8"/>
      <c r="CD894" s="8"/>
      <c r="CE894" s="8"/>
      <c r="CF894" s="8"/>
      <c r="CG894" s="9"/>
      <c r="CH894" s="8"/>
      <c r="CI894" s="8"/>
      <c r="CJ894" s="8"/>
      <c r="CK894" s="8"/>
      <c r="CL894" s="8"/>
      <c r="CM894" s="8"/>
      <c r="CN894" s="8"/>
      <c r="CO894" s="8"/>
      <c r="CP894" s="8"/>
      <c r="CQ894" s="9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8"/>
      <c r="DC894" s="8"/>
      <c r="DD894" s="8"/>
      <c r="DE894" s="8"/>
      <c r="DF894" s="9"/>
      <c r="DG894" s="9"/>
      <c r="DH894" s="10"/>
      <c r="DI894" s="9"/>
      <c r="DJ894" s="9"/>
      <c r="DK894" s="3"/>
      <c r="DL894" s="3"/>
      <c r="DM894" s="3"/>
    </row>
    <row r="895" ht="11.25" customHeight="1">
      <c r="A895" s="3"/>
      <c r="B895" s="2"/>
      <c r="C895" s="3"/>
      <c r="D895" s="3"/>
      <c r="E895" s="3"/>
      <c r="F895" s="4"/>
      <c r="G895" s="4"/>
      <c r="H895" s="4"/>
      <c r="I895" s="5"/>
      <c r="J895" s="4"/>
      <c r="K895" s="4"/>
      <c r="L895" s="6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3"/>
      <c r="AL895" s="3"/>
      <c r="AM895" s="3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8"/>
      <c r="BU895" s="8"/>
      <c r="BV895" s="8"/>
      <c r="BW895" s="8"/>
      <c r="BX895" s="3"/>
      <c r="BY895" s="3"/>
      <c r="BZ895" s="3"/>
      <c r="CA895" s="8"/>
      <c r="CB895" s="8"/>
      <c r="CC895" s="8"/>
      <c r="CD895" s="8"/>
      <c r="CE895" s="8"/>
      <c r="CF895" s="8"/>
      <c r="CG895" s="9"/>
      <c r="CH895" s="8"/>
      <c r="CI895" s="8"/>
      <c r="CJ895" s="8"/>
      <c r="CK895" s="8"/>
      <c r="CL895" s="8"/>
      <c r="CM895" s="8"/>
      <c r="CN895" s="8"/>
      <c r="CO895" s="8"/>
      <c r="CP895" s="8"/>
      <c r="CQ895" s="9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8"/>
      <c r="DC895" s="8"/>
      <c r="DD895" s="8"/>
      <c r="DE895" s="8"/>
      <c r="DF895" s="9"/>
      <c r="DG895" s="9"/>
      <c r="DH895" s="10"/>
      <c r="DI895" s="9"/>
      <c r="DJ895" s="9"/>
      <c r="DK895" s="3"/>
      <c r="DL895" s="3"/>
      <c r="DM895" s="3"/>
    </row>
    <row r="896" ht="11.25" customHeight="1">
      <c r="A896" s="3"/>
      <c r="B896" s="2"/>
      <c r="C896" s="3"/>
      <c r="D896" s="3"/>
      <c r="E896" s="3"/>
      <c r="F896" s="4"/>
      <c r="G896" s="4"/>
      <c r="H896" s="4"/>
      <c r="I896" s="5"/>
      <c r="J896" s="4"/>
      <c r="K896" s="4"/>
      <c r="L896" s="6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3"/>
      <c r="AL896" s="3"/>
      <c r="AM896" s="3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8"/>
      <c r="BU896" s="8"/>
      <c r="BV896" s="8"/>
      <c r="BW896" s="8"/>
      <c r="BX896" s="3"/>
      <c r="BY896" s="3"/>
      <c r="BZ896" s="3"/>
      <c r="CA896" s="8"/>
      <c r="CB896" s="8"/>
      <c r="CC896" s="8"/>
      <c r="CD896" s="8"/>
      <c r="CE896" s="8"/>
      <c r="CF896" s="8"/>
      <c r="CG896" s="9"/>
      <c r="CH896" s="8"/>
      <c r="CI896" s="8"/>
      <c r="CJ896" s="8"/>
      <c r="CK896" s="8"/>
      <c r="CL896" s="8"/>
      <c r="CM896" s="8"/>
      <c r="CN896" s="8"/>
      <c r="CO896" s="8"/>
      <c r="CP896" s="8"/>
      <c r="CQ896" s="9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8"/>
      <c r="DC896" s="8"/>
      <c r="DD896" s="8"/>
      <c r="DE896" s="8"/>
      <c r="DF896" s="9"/>
      <c r="DG896" s="9"/>
      <c r="DH896" s="10"/>
      <c r="DI896" s="9"/>
      <c r="DJ896" s="9"/>
      <c r="DK896" s="3"/>
      <c r="DL896" s="3"/>
      <c r="DM896" s="3"/>
    </row>
    <row r="897" ht="11.25" customHeight="1">
      <c r="A897" s="3"/>
      <c r="B897" s="2"/>
      <c r="C897" s="3"/>
      <c r="D897" s="3"/>
      <c r="E897" s="3"/>
      <c r="F897" s="4"/>
      <c r="G897" s="4"/>
      <c r="H897" s="4"/>
      <c r="I897" s="5"/>
      <c r="J897" s="4"/>
      <c r="K897" s="4"/>
      <c r="L897" s="6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3"/>
      <c r="AL897" s="3"/>
      <c r="AM897" s="3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8"/>
      <c r="BU897" s="8"/>
      <c r="BV897" s="8"/>
      <c r="BW897" s="8"/>
      <c r="BX897" s="3"/>
      <c r="BY897" s="3"/>
      <c r="BZ897" s="3"/>
      <c r="CA897" s="8"/>
      <c r="CB897" s="8"/>
      <c r="CC897" s="8"/>
      <c r="CD897" s="8"/>
      <c r="CE897" s="8"/>
      <c r="CF897" s="8"/>
      <c r="CG897" s="9"/>
      <c r="CH897" s="8"/>
      <c r="CI897" s="8"/>
      <c r="CJ897" s="8"/>
      <c r="CK897" s="8"/>
      <c r="CL897" s="8"/>
      <c r="CM897" s="8"/>
      <c r="CN897" s="8"/>
      <c r="CO897" s="8"/>
      <c r="CP897" s="8"/>
      <c r="CQ897" s="9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8"/>
      <c r="DC897" s="8"/>
      <c r="DD897" s="8"/>
      <c r="DE897" s="8"/>
      <c r="DF897" s="9"/>
      <c r="DG897" s="9"/>
      <c r="DH897" s="10"/>
      <c r="DI897" s="9"/>
      <c r="DJ897" s="9"/>
      <c r="DK897" s="3"/>
      <c r="DL897" s="3"/>
      <c r="DM897" s="3"/>
    </row>
    <row r="898" ht="11.25" customHeight="1">
      <c r="A898" s="3"/>
      <c r="B898" s="2"/>
      <c r="C898" s="3"/>
      <c r="D898" s="3"/>
      <c r="E898" s="3"/>
      <c r="F898" s="4"/>
      <c r="G898" s="4"/>
      <c r="H898" s="4"/>
      <c r="I898" s="5"/>
      <c r="J898" s="4"/>
      <c r="K898" s="4"/>
      <c r="L898" s="6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3"/>
      <c r="AL898" s="3"/>
      <c r="AM898" s="3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8"/>
      <c r="BU898" s="8"/>
      <c r="BV898" s="8"/>
      <c r="BW898" s="8"/>
      <c r="BX898" s="3"/>
      <c r="BY898" s="3"/>
      <c r="BZ898" s="3"/>
      <c r="CA898" s="8"/>
      <c r="CB898" s="8"/>
      <c r="CC898" s="8"/>
      <c r="CD898" s="8"/>
      <c r="CE898" s="8"/>
      <c r="CF898" s="8"/>
      <c r="CG898" s="9"/>
      <c r="CH898" s="8"/>
      <c r="CI898" s="8"/>
      <c r="CJ898" s="8"/>
      <c r="CK898" s="8"/>
      <c r="CL898" s="8"/>
      <c r="CM898" s="8"/>
      <c r="CN898" s="8"/>
      <c r="CO898" s="8"/>
      <c r="CP898" s="8"/>
      <c r="CQ898" s="9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8"/>
      <c r="DC898" s="8"/>
      <c r="DD898" s="8"/>
      <c r="DE898" s="8"/>
      <c r="DF898" s="9"/>
      <c r="DG898" s="9"/>
      <c r="DH898" s="10"/>
      <c r="DI898" s="9"/>
      <c r="DJ898" s="9"/>
      <c r="DK898" s="3"/>
      <c r="DL898" s="3"/>
      <c r="DM898" s="3"/>
    </row>
    <row r="899" ht="11.25" customHeight="1">
      <c r="A899" s="3"/>
      <c r="B899" s="2"/>
      <c r="C899" s="3"/>
      <c r="D899" s="3"/>
      <c r="E899" s="3"/>
      <c r="F899" s="4"/>
      <c r="G899" s="4"/>
      <c r="H899" s="4"/>
      <c r="I899" s="5"/>
      <c r="J899" s="4"/>
      <c r="K899" s="4"/>
      <c r="L899" s="6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3"/>
      <c r="AL899" s="3"/>
      <c r="AM899" s="3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8"/>
      <c r="BU899" s="8"/>
      <c r="BV899" s="8"/>
      <c r="BW899" s="8"/>
      <c r="BX899" s="3"/>
      <c r="BY899" s="3"/>
      <c r="BZ899" s="3"/>
      <c r="CA899" s="8"/>
      <c r="CB899" s="8"/>
      <c r="CC899" s="8"/>
      <c r="CD899" s="8"/>
      <c r="CE899" s="8"/>
      <c r="CF899" s="8"/>
      <c r="CG899" s="9"/>
      <c r="CH899" s="8"/>
      <c r="CI899" s="8"/>
      <c r="CJ899" s="8"/>
      <c r="CK899" s="8"/>
      <c r="CL899" s="8"/>
      <c r="CM899" s="8"/>
      <c r="CN899" s="8"/>
      <c r="CO899" s="8"/>
      <c r="CP899" s="8"/>
      <c r="CQ899" s="9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8"/>
      <c r="DC899" s="8"/>
      <c r="DD899" s="8"/>
      <c r="DE899" s="8"/>
      <c r="DF899" s="9"/>
      <c r="DG899" s="9"/>
      <c r="DH899" s="10"/>
      <c r="DI899" s="9"/>
      <c r="DJ899" s="9"/>
      <c r="DK899" s="3"/>
      <c r="DL899" s="3"/>
      <c r="DM899" s="3"/>
    </row>
    <row r="900" ht="11.25" customHeight="1">
      <c r="A900" s="3"/>
      <c r="B900" s="2"/>
      <c r="C900" s="3"/>
      <c r="D900" s="3"/>
      <c r="E900" s="3"/>
      <c r="F900" s="4"/>
      <c r="G900" s="4"/>
      <c r="H900" s="4"/>
      <c r="I900" s="5"/>
      <c r="J900" s="4"/>
      <c r="K900" s="4"/>
      <c r="L900" s="6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3"/>
      <c r="AL900" s="3"/>
      <c r="AM900" s="3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8"/>
      <c r="BU900" s="8"/>
      <c r="BV900" s="8"/>
      <c r="BW900" s="8"/>
      <c r="BX900" s="3"/>
      <c r="BY900" s="3"/>
      <c r="BZ900" s="3"/>
      <c r="CA900" s="8"/>
      <c r="CB900" s="8"/>
      <c r="CC900" s="8"/>
      <c r="CD900" s="8"/>
      <c r="CE900" s="8"/>
      <c r="CF900" s="8"/>
      <c r="CG900" s="9"/>
      <c r="CH900" s="8"/>
      <c r="CI900" s="8"/>
      <c r="CJ900" s="8"/>
      <c r="CK900" s="8"/>
      <c r="CL900" s="8"/>
      <c r="CM900" s="8"/>
      <c r="CN900" s="8"/>
      <c r="CO900" s="8"/>
      <c r="CP900" s="8"/>
      <c r="CQ900" s="9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8"/>
      <c r="DC900" s="8"/>
      <c r="DD900" s="8"/>
      <c r="DE900" s="8"/>
      <c r="DF900" s="9"/>
      <c r="DG900" s="9"/>
      <c r="DH900" s="10"/>
      <c r="DI900" s="9"/>
      <c r="DJ900" s="9"/>
      <c r="DK900" s="3"/>
      <c r="DL900" s="3"/>
      <c r="DM900" s="3"/>
    </row>
    <row r="901" ht="11.25" customHeight="1">
      <c r="A901" s="3"/>
      <c r="B901" s="2"/>
      <c r="C901" s="3"/>
      <c r="D901" s="3"/>
      <c r="E901" s="3"/>
      <c r="F901" s="4"/>
      <c r="G901" s="4"/>
      <c r="H901" s="4"/>
      <c r="I901" s="5"/>
      <c r="J901" s="4"/>
      <c r="K901" s="4"/>
      <c r="L901" s="6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3"/>
      <c r="AL901" s="3"/>
      <c r="AM901" s="3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8"/>
      <c r="BU901" s="8"/>
      <c r="BV901" s="8"/>
      <c r="BW901" s="8"/>
      <c r="BX901" s="3"/>
      <c r="BY901" s="3"/>
      <c r="BZ901" s="3"/>
      <c r="CA901" s="8"/>
      <c r="CB901" s="8"/>
      <c r="CC901" s="8"/>
      <c r="CD901" s="8"/>
      <c r="CE901" s="8"/>
      <c r="CF901" s="8"/>
      <c r="CG901" s="9"/>
      <c r="CH901" s="8"/>
      <c r="CI901" s="8"/>
      <c r="CJ901" s="8"/>
      <c r="CK901" s="8"/>
      <c r="CL901" s="8"/>
      <c r="CM901" s="8"/>
      <c r="CN901" s="8"/>
      <c r="CO901" s="8"/>
      <c r="CP901" s="8"/>
      <c r="CQ901" s="9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8"/>
      <c r="DC901" s="8"/>
      <c r="DD901" s="8"/>
      <c r="DE901" s="8"/>
      <c r="DF901" s="9"/>
      <c r="DG901" s="9"/>
      <c r="DH901" s="10"/>
      <c r="DI901" s="9"/>
      <c r="DJ901" s="9"/>
      <c r="DK901" s="3"/>
      <c r="DL901" s="3"/>
      <c r="DM901" s="3"/>
    </row>
    <row r="902" ht="11.25" customHeight="1">
      <c r="A902" s="3"/>
      <c r="B902" s="2"/>
      <c r="C902" s="3"/>
      <c r="D902" s="3"/>
      <c r="E902" s="3"/>
      <c r="F902" s="4"/>
      <c r="G902" s="4"/>
      <c r="H902" s="4"/>
      <c r="I902" s="5"/>
      <c r="J902" s="4"/>
      <c r="K902" s="4"/>
      <c r="L902" s="6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3"/>
      <c r="AL902" s="3"/>
      <c r="AM902" s="3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8"/>
      <c r="BU902" s="8"/>
      <c r="BV902" s="8"/>
      <c r="BW902" s="8"/>
      <c r="BX902" s="3"/>
      <c r="BY902" s="3"/>
      <c r="BZ902" s="3"/>
      <c r="CA902" s="8"/>
      <c r="CB902" s="8"/>
      <c r="CC902" s="8"/>
      <c r="CD902" s="8"/>
      <c r="CE902" s="8"/>
      <c r="CF902" s="8"/>
      <c r="CG902" s="9"/>
      <c r="CH902" s="8"/>
      <c r="CI902" s="8"/>
      <c r="CJ902" s="8"/>
      <c r="CK902" s="8"/>
      <c r="CL902" s="8"/>
      <c r="CM902" s="8"/>
      <c r="CN902" s="8"/>
      <c r="CO902" s="8"/>
      <c r="CP902" s="8"/>
      <c r="CQ902" s="9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8"/>
      <c r="DC902" s="8"/>
      <c r="DD902" s="8"/>
      <c r="DE902" s="8"/>
      <c r="DF902" s="9"/>
      <c r="DG902" s="9"/>
      <c r="DH902" s="10"/>
      <c r="DI902" s="9"/>
      <c r="DJ902" s="9"/>
      <c r="DK902" s="3"/>
      <c r="DL902" s="3"/>
      <c r="DM902" s="3"/>
    </row>
    <row r="903" ht="11.25" customHeight="1">
      <c r="A903" s="3"/>
      <c r="B903" s="2"/>
      <c r="C903" s="3"/>
      <c r="D903" s="3"/>
      <c r="E903" s="3"/>
      <c r="F903" s="4"/>
      <c r="G903" s="4"/>
      <c r="H903" s="4"/>
      <c r="I903" s="5"/>
      <c r="J903" s="4"/>
      <c r="K903" s="4"/>
      <c r="L903" s="6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3"/>
      <c r="AL903" s="3"/>
      <c r="AM903" s="3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8"/>
      <c r="BU903" s="8"/>
      <c r="BV903" s="8"/>
      <c r="BW903" s="8"/>
      <c r="BX903" s="3"/>
      <c r="BY903" s="3"/>
      <c r="BZ903" s="3"/>
      <c r="CA903" s="8"/>
      <c r="CB903" s="8"/>
      <c r="CC903" s="8"/>
      <c r="CD903" s="8"/>
      <c r="CE903" s="8"/>
      <c r="CF903" s="8"/>
      <c r="CG903" s="9"/>
      <c r="CH903" s="8"/>
      <c r="CI903" s="8"/>
      <c r="CJ903" s="8"/>
      <c r="CK903" s="8"/>
      <c r="CL903" s="8"/>
      <c r="CM903" s="8"/>
      <c r="CN903" s="8"/>
      <c r="CO903" s="8"/>
      <c r="CP903" s="8"/>
      <c r="CQ903" s="9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8"/>
      <c r="DC903" s="8"/>
      <c r="DD903" s="8"/>
      <c r="DE903" s="8"/>
      <c r="DF903" s="9"/>
      <c r="DG903" s="9"/>
      <c r="DH903" s="10"/>
      <c r="DI903" s="9"/>
      <c r="DJ903" s="9"/>
      <c r="DK903" s="3"/>
      <c r="DL903" s="3"/>
      <c r="DM903" s="3"/>
    </row>
    <row r="904" ht="11.25" customHeight="1">
      <c r="A904" s="3"/>
      <c r="B904" s="2"/>
      <c r="C904" s="3"/>
      <c r="D904" s="3"/>
      <c r="E904" s="3"/>
      <c r="F904" s="4"/>
      <c r="G904" s="4"/>
      <c r="H904" s="4"/>
      <c r="I904" s="5"/>
      <c r="J904" s="4"/>
      <c r="K904" s="4"/>
      <c r="L904" s="6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3"/>
      <c r="AL904" s="3"/>
      <c r="AM904" s="3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8"/>
      <c r="BU904" s="8"/>
      <c r="BV904" s="8"/>
      <c r="BW904" s="8"/>
      <c r="BX904" s="3"/>
      <c r="BY904" s="3"/>
      <c r="BZ904" s="3"/>
      <c r="CA904" s="8"/>
      <c r="CB904" s="8"/>
      <c r="CC904" s="8"/>
      <c r="CD904" s="8"/>
      <c r="CE904" s="8"/>
      <c r="CF904" s="8"/>
      <c r="CG904" s="9"/>
      <c r="CH904" s="8"/>
      <c r="CI904" s="8"/>
      <c r="CJ904" s="8"/>
      <c r="CK904" s="8"/>
      <c r="CL904" s="8"/>
      <c r="CM904" s="8"/>
      <c r="CN904" s="8"/>
      <c r="CO904" s="8"/>
      <c r="CP904" s="8"/>
      <c r="CQ904" s="9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8"/>
      <c r="DC904" s="8"/>
      <c r="DD904" s="8"/>
      <c r="DE904" s="8"/>
      <c r="DF904" s="9"/>
      <c r="DG904" s="9"/>
      <c r="DH904" s="10"/>
      <c r="DI904" s="9"/>
      <c r="DJ904" s="9"/>
      <c r="DK904" s="3"/>
      <c r="DL904" s="3"/>
      <c r="DM904" s="3"/>
    </row>
    <row r="905" ht="11.25" customHeight="1">
      <c r="A905" s="3"/>
      <c r="B905" s="2"/>
      <c r="C905" s="3"/>
      <c r="D905" s="3"/>
      <c r="E905" s="3"/>
      <c r="F905" s="4"/>
      <c r="G905" s="4"/>
      <c r="H905" s="4"/>
      <c r="I905" s="5"/>
      <c r="J905" s="4"/>
      <c r="K905" s="4"/>
      <c r="L905" s="6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3"/>
      <c r="AL905" s="3"/>
      <c r="AM905" s="3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8"/>
      <c r="BU905" s="8"/>
      <c r="BV905" s="8"/>
      <c r="BW905" s="8"/>
      <c r="BX905" s="3"/>
      <c r="BY905" s="3"/>
      <c r="BZ905" s="3"/>
      <c r="CA905" s="8"/>
      <c r="CB905" s="8"/>
      <c r="CC905" s="8"/>
      <c r="CD905" s="8"/>
      <c r="CE905" s="8"/>
      <c r="CF905" s="8"/>
      <c r="CG905" s="9"/>
      <c r="CH905" s="8"/>
      <c r="CI905" s="8"/>
      <c r="CJ905" s="8"/>
      <c r="CK905" s="8"/>
      <c r="CL905" s="8"/>
      <c r="CM905" s="8"/>
      <c r="CN905" s="8"/>
      <c r="CO905" s="8"/>
      <c r="CP905" s="8"/>
      <c r="CQ905" s="9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8"/>
      <c r="DC905" s="8"/>
      <c r="DD905" s="8"/>
      <c r="DE905" s="8"/>
      <c r="DF905" s="9"/>
      <c r="DG905" s="9"/>
      <c r="DH905" s="10"/>
      <c r="DI905" s="9"/>
      <c r="DJ905" s="9"/>
      <c r="DK905" s="3"/>
      <c r="DL905" s="3"/>
      <c r="DM905" s="3"/>
    </row>
    <row r="906" ht="11.25" customHeight="1">
      <c r="A906" s="3"/>
      <c r="B906" s="2"/>
      <c r="C906" s="3"/>
      <c r="D906" s="3"/>
      <c r="E906" s="3"/>
      <c r="F906" s="4"/>
      <c r="G906" s="4"/>
      <c r="H906" s="4"/>
      <c r="I906" s="5"/>
      <c r="J906" s="4"/>
      <c r="K906" s="4"/>
      <c r="L906" s="6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3"/>
      <c r="AL906" s="3"/>
      <c r="AM906" s="3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8"/>
      <c r="BU906" s="8"/>
      <c r="BV906" s="8"/>
      <c r="BW906" s="8"/>
      <c r="BX906" s="3"/>
      <c r="BY906" s="3"/>
      <c r="BZ906" s="3"/>
      <c r="CA906" s="8"/>
      <c r="CB906" s="8"/>
      <c r="CC906" s="8"/>
      <c r="CD906" s="8"/>
      <c r="CE906" s="8"/>
      <c r="CF906" s="8"/>
      <c r="CG906" s="9"/>
      <c r="CH906" s="8"/>
      <c r="CI906" s="8"/>
      <c r="CJ906" s="8"/>
      <c r="CK906" s="8"/>
      <c r="CL906" s="8"/>
      <c r="CM906" s="8"/>
      <c r="CN906" s="8"/>
      <c r="CO906" s="8"/>
      <c r="CP906" s="8"/>
      <c r="CQ906" s="9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8"/>
      <c r="DC906" s="8"/>
      <c r="DD906" s="8"/>
      <c r="DE906" s="8"/>
      <c r="DF906" s="9"/>
      <c r="DG906" s="9"/>
      <c r="DH906" s="10"/>
      <c r="DI906" s="9"/>
      <c r="DJ906" s="9"/>
      <c r="DK906" s="3"/>
      <c r="DL906" s="3"/>
      <c r="DM906" s="3"/>
    </row>
    <row r="907" ht="11.25" customHeight="1">
      <c r="A907" s="3"/>
      <c r="B907" s="2"/>
      <c r="C907" s="3"/>
      <c r="D907" s="3"/>
      <c r="E907" s="3"/>
      <c r="F907" s="4"/>
      <c r="G907" s="4"/>
      <c r="H907" s="4"/>
      <c r="I907" s="5"/>
      <c r="J907" s="4"/>
      <c r="K907" s="4"/>
      <c r="L907" s="6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3"/>
      <c r="AL907" s="3"/>
      <c r="AM907" s="3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8"/>
      <c r="BU907" s="8"/>
      <c r="BV907" s="8"/>
      <c r="BW907" s="8"/>
      <c r="BX907" s="3"/>
      <c r="BY907" s="3"/>
      <c r="BZ907" s="3"/>
      <c r="CA907" s="8"/>
      <c r="CB907" s="8"/>
      <c r="CC907" s="8"/>
      <c r="CD907" s="8"/>
      <c r="CE907" s="8"/>
      <c r="CF907" s="8"/>
      <c r="CG907" s="9"/>
      <c r="CH907" s="8"/>
      <c r="CI907" s="8"/>
      <c r="CJ907" s="8"/>
      <c r="CK907" s="8"/>
      <c r="CL907" s="8"/>
      <c r="CM907" s="8"/>
      <c r="CN907" s="8"/>
      <c r="CO907" s="8"/>
      <c r="CP907" s="8"/>
      <c r="CQ907" s="9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C907" s="8"/>
      <c r="DD907" s="8"/>
      <c r="DE907" s="8"/>
      <c r="DF907" s="9"/>
      <c r="DG907" s="9"/>
      <c r="DH907" s="10"/>
      <c r="DI907" s="9"/>
      <c r="DJ907" s="9"/>
      <c r="DK907" s="3"/>
      <c r="DL907" s="3"/>
      <c r="DM907" s="3"/>
    </row>
    <row r="908" ht="11.25" customHeight="1">
      <c r="A908" s="3"/>
      <c r="B908" s="2"/>
      <c r="C908" s="3"/>
      <c r="D908" s="3"/>
      <c r="E908" s="3"/>
      <c r="F908" s="4"/>
      <c r="G908" s="4"/>
      <c r="H908" s="4"/>
      <c r="I908" s="5"/>
      <c r="J908" s="4"/>
      <c r="K908" s="4"/>
      <c r="L908" s="6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3"/>
      <c r="AL908" s="3"/>
      <c r="AM908" s="3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8"/>
      <c r="BU908" s="8"/>
      <c r="BV908" s="8"/>
      <c r="BW908" s="8"/>
      <c r="BX908" s="3"/>
      <c r="BY908" s="3"/>
      <c r="BZ908" s="3"/>
      <c r="CA908" s="8"/>
      <c r="CB908" s="8"/>
      <c r="CC908" s="8"/>
      <c r="CD908" s="8"/>
      <c r="CE908" s="8"/>
      <c r="CF908" s="8"/>
      <c r="CG908" s="9"/>
      <c r="CH908" s="8"/>
      <c r="CI908" s="8"/>
      <c r="CJ908" s="8"/>
      <c r="CK908" s="8"/>
      <c r="CL908" s="8"/>
      <c r="CM908" s="8"/>
      <c r="CN908" s="8"/>
      <c r="CO908" s="8"/>
      <c r="CP908" s="8"/>
      <c r="CQ908" s="9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8"/>
      <c r="DC908" s="8"/>
      <c r="DD908" s="8"/>
      <c r="DE908" s="8"/>
      <c r="DF908" s="9"/>
      <c r="DG908" s="9"/>
      <c r="DH908" s="10"/>
      <c r="DI908" s="9"/>
      <c r="DJ908" s="9"/>
      <c r="DK908" s="3"/>
      <c r="DL908" s="3"/>
      <c r="DM908" s="3"/>
    </row>
    <row r="909" ht="11.25" customHeight="1">
      <c r="A909" s="3"/>
      <c r="B909" s="2"/>
      <c r="C909" s="3"/>
      <c r="D909" s="3"/>
      <c r="E909" s="3"/>
      <c r="F909" s="4"/>
      <c r="G909" s="4"/>
      <c r="H909" s="4"/>
      <c r="I909" s="5"/>
      <c r="J909" s="4"/>
      <c r="K909" s="4"/>
      <c r="L909" s="6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3"/>
      <c r="AL909" s="3"/>
      <c r="AM909" s="3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8"/>
      <c r="BU909" s="8"/>
      <c r="BV909" s="8"/>
      <c r="BW909" s="8"/>
      <c r="BX909" s="3"/>
      <c r="BY909" s="3"/>
      <c r="BZ909" s="3"/>
      <c r="CA909" s="8"/>
      <c r="CB909" s="8"/>
      <c r="CC909" s="8"/>
      <c r="CD909" s="8"/>
      <c r="CE909" s="8"/>
      <c r="CF909" s="8"/>
      <c r="CG909" s="9"/>
      <c r="CH909" s="8"/>
      <c r="CI909" s="8"/>
      <c r="CJ909" s="8"/>
      <c r="CK909" s="8"/>
      <c r="CL909" s="8"/>
      <c r="CM909" s="8"/>
      <c r="CN909" s="8"/>
      <c r="CO909" s="8"/>
      <c r="CP909" s="8"/>
      <c r="CQ909" s="9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8"/>
      <c r="DC909" s="8"/>
      <c r="DD909" s="8"/>
      <c r="DE909" s="8"/>
      <c r="DF909" s="9"/>
      <c r="DG909" s="9"/>
      <c r="DH909" s="10"/>
      <c r="DI909" s="9"/>
      <c r="DJ909" s="9"/>
      <c r="DK909" s="3"/>
      <c r="DL909" s="3"/>
      <c r="DM909" s="3"/>
    </row>
    <row r="910" ht="11.25" customHeight="1">
      <c r="A910" s="3"/>
      <c r="B910" s="2"/>
      <c r="C910" s="3"/>
      <c r="D910" s="3"/>
      <c r="E910" s="3"/>
      <c r="F910" s="4"/>
      <c r="G910" s="4"/>
      <c r="H910" s="4"/>
      <c r="I910" s="5"/>
      <c r="J910" s="4"/>
      <c r="K910" s="4"/>
      <c r="L910" s="6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3"/>
      <c r="AL910" s="3"/>
      <c r="AM910" s="3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8"/>
      <c r="BU910" s="8"/>
      <c r="BV910" s="8"/>
      <c r="BW910" s="8"/>
      <c r="BX910" s="3"/>
      <c r="BY910" s="3"/>
      <c r="BZ910" s="3"/>
      <c r="CA910" s="8"/>
      <c r="CB910" s="8"/>
      <c r="CC910" s="8"/>
      <c r="CD910" s="8"/>
      <c r="CE910" s="8"/>
      <c r="CF910" s="8"/>
      <c r="CG910" s="9"/>
      <c r="CH910" s="8"/>
      <c r="CI910" s="8"/>
      <c r="CJ910" s="8"/>
      <c r="CK910" s="8"/>
      <c r="CL910" s="8"/>
      <c r="CM910" s="8"/>
      <c r="CN910" s="8"/>
      <c r="CO910" s="8"/>
      <c r="CP910" s="8"/>
      <c r="CQ910" s="9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8"/>
      <c r="DC910" s="8"/>
      <c r="DD910" s="8"/>
      <c r="DE910" s="8"/>
      <c r="DF910" s="9"/>
      <c r="DG910" s="9"/>
      <c r="DH910" s="10"/>
      <c r="DI910" s="9"/>
      <c r="DJ910" s="9"/>
      <c r="DK910" s="3"/>
      <c r="DL910" s="3"/>
      <c r="DM910" s="3"/>
    </row>
    <row r="911" ht="11.25" customHeight="1">
      <c r="A911" s="3"/>
      <c r="B911" s="2"/>
      <c r="C911" s="3"/>
      <c r="D911" s="3"/>
      <c r="E911" s="3"/>
      <c r="F911" s="4"/>
      <c r="G911" s="4"/>
      <c r="H911" s="4"/>
      <c r="I911" s="5"/>
      <c r="J911" s="4"/>
      <c r="K911" s="4"/>
      <c r="L911" s="6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3"/>
      <c r="AL911" s="3"/>
      <c r="AM911" s="3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8"/>
      <c r="BU911" s="8"/>
      <c r="BV911" s="8"/>
      <c r="BW911" s="8"/>
      <c r="BX911" s="3"/>
      <c r="BY911" s="3"/>
      <c r="BZ911" s="3"/>
      <c r="CA911" s="8"/>
      <c r="CB911" s="8"/>
      <c r="CC911" s="8"/>
      <c r="CD911" s="8"/>
      <c r="CE911" s="8"/>
      <c r="CF911" s="8"/>
      <c r="CG911" s="9"/>
      <c r="CH911" s="8"/>
      <c r="CI911" s="8"/>
      <c r="CJ911" s="8"/>
      <c r="CK911" s="8"/>
      <c r="CL911" s="8"/>
      <c r="CM911" s="8"/>
      <c r="CN911" s="8"/>
      <c r="CO911" s="8"/>
      <c r="CP911" s="8"/>
      <c r="CQ911" s="9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8"/>
      <c r="DC911" s="8"/>
      <c r="DD911" s="8"/>
      <c r="DE911" s="8"/>
      <c r="DF911" s="9"/>
      <c r="DG911" s="9"/>
      <c r="DH911" s="10"/>
      <c r="DI911" s="9"/>
      <c r="DJ911" s="9"/>
      <c r="DK911" s="3"/>
      <c r="DL911" s="3"/>
      <c r="DM911" s="3"/>
    </row>
    <row r="912" ht="11.25" customHeight="1">
      <c r="A912" s="3"/>
      <c r="B912" s="2"/>
      <c r="C912" s="3"/>
      <c r="D912" s="3"/>
      <c r="E912" s="3"/>
      <c r="F912" s="4"/>
      <c r="G912" s="4"/>
      <c r="H912" s="4"/>
      <c r="I912" s="5"/>
      <c r="J912" s="4"/>
      <c r="K912" s="4"/>
      <c r="L912" s="6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3"/>
      <c r="AL912" s="3"/>
      <c r="AM912" s="3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8"/>
      <c r="BU912" s="8"/>
      <c r="BV912" s="8"/>
      <c r="BW912" s="8"/>
      <c r="BX912" s="3"/>
      <c r="BY912" s="3"/>
      <c r="BZ912" s="3"/>
      <c r="CA912" s="8"/>
      <c r="CB912" s="8"/>
      <c r="CC912" s="8"/>
      <c r="CD912" s="8"/>
      <c r="CE912" s="8"/>
      <c r="CF912" s="8"/>
      <c r="CG912" s="9"/>
      <c r="CH912" s="8"/>
      <c r="CI912" s="8"/>
      <c r="CJ912" s="8"/>
      <c r="CK912" s="8"/>
      <c r="CL912" s="8"/>
      <c r="CM912" s="8"/>
      <c r="CN912" s="8"/>
      <c r="CO912" s="8"/>
      <c r="CP912" s="8"/>
      <c r="CQ912" s="9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8"/>
      <c r="DC912" s="8"/>
      <c r="DD912" s="8"/>
      <c r="DE912" s="8"/>
      <c r="DF912" s="9"/>
      <c r="DG912" s="9"/>
      <c r="DH912" s="10"/>
      <c r="DI912" s="9"/>
      <c r="DJ912" s="9"/>
      <c r="DK912" s="3"/>
      <c r="DL912" s="3"/>
      <c r="DM912" s="3"/>
    </row>
    <row r="913" ht="11.25" customHeight="1">
      <c r="A913" s="3"/>
      <c r="B913" s="2"/>
      <c r="C913" s="3"/>
      <c r="D913" s="3"/>
      <c r="E913" s="3"/>
      <c r="F913" s="4"/>
      <c r="G913" s="4"/>
      <c r="H913" s="4"/>
      <c r="I913" s="5"/>
      <c r="J913" s="4"/>
      <c r="K913" s="4"/>
      <c r="L913" s="6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3"/>
      <c r="AL913" s="3"/>
      <c r="AM913" s="3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8"/>
      <c r="BU913" s="8"/>
      <c r="BV913" s="8"/>
      <c r="BW913" s="8"/>
      <c r="BX913" s="3"/>
      <c r="BY913" s="3"/>
      <c r="BZ913" s="3"/>
      <c r="CA913" s="8"/>
      <c r="CB913" s="8"/>
      <c r="CC913" s="8"/>
      <c r="CD913" s="8"/>
      <c r="CE913" s="8"/>
      <c r="CF913" s="8"/>
      <c r="CG913" s="9"/>
      <c r="CH913" s="8"/>
      <c r="CI913" s="8"/>
      <c r="CJ913" s="8"/>
      <c r="CK913" s="8"/>
      <c r="CL913" s="8"/>
      <c r="CM913" s="8"/>
      <c r="CN913" s="8"/>
      <c r="CO913" s="8"/>
      <c r="CP913" s="8"/>
      <c r="CQ913" s="9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8"/>
      <c r="DC913" s="8"/>
      <c r="DD913" s="8"/>
      <c r="DE913" s="8"/>
      <c r="DF913" s="9"/>
      <c r="DG913" s="9"/>
      <c r="DH913" s="10"/>
      <c r="DI913" s="9"/>
      <c r="DJ913" s="9"/>
      <c r="DK913" s="3"/>
      <c r="DL913" s="3"/>
      <c r="DM913" s="3"/>
    </row>
    <row r="914" ht="11.25" customHeight="1">
      <c r="A914" s="3"/>
      <c r="B914" s="2"/>
      <c r="C914" s="3"/>
      <c r="D914" s="3"/>
      <c r="E914" s="3"/>
      <c r="F914" s="4"/>
      <c r="G914" s="4"/>
      <c r="H914" s="4"/>
      <c r="I914" s="5"/>
      <c r="J914" s="4"/>
      <c r="K914" s="4"/>
      <c r="L914" s="6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3"/>
      <c r="AL914" s="3"/>
      <c r="AM914" s="3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8"/>
      <c r="BU914" s="8"/>
      <c r="BV914" s="8"/>
      <c r="BW914" s="8"/>
      <c r="BX914" s="3"/>
      <c r="BY914" s="3"/>
      <c r="BZ914" s="3"/>
      <c r="CA914" s="8"/>
      <c r="CB914" s="8"/>
      <c r="CC914" s="8"/>
      <c r="CD914" s="8"/>
      <c r="CE914" s="8"/>
      <c r="CF914" s="8"/>
      <c r="CG914" s="9"/>
      <c r="CH914" s="8"/>
      <c r="CI914" s="8"/>
      <c r="CJ914" s="8"/>
      <c r="CK914" s="8"/>
      <c r="CL914" s="8"/>
      <c r="CM914" s="8"/>
      <c r="CN914" s="8"/>
      <c r="CO914" s="8"/>
      <c r="CP914" s="8"/>
      <c r="CQ914" s="9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8"/>
      <c r="DC914" s="8"/>
      <c r="DD914" s="8"/>
      <c r="DE914" s="8"/>
      <c r="DF914" s="9"/>
      <c r="DG914" s="9"/>
      <c r="DH914" s="10"/>
      <c r="DI914" s="9"/>
      <c r="DJ914" s="9"/>
      <c r="DK914" s="3"/>
      <c r="DL914" s="3"/>
      <c r="DM914" s="3"/>
    </row>
    <row r="915" ht="11.25" customHeight="1">
      <c r="A915" s="3"/>
      <c r="B915" s="2"/>
      <c r="C915" s="3"/>
      <c r="D915" s="3"/>
      <c r="E915" s="3"/>
      <c r="F915" s="4"/>
      <c r="G915" s="4"/>
      <c r="H915" s="4"/>
      <c r="I915" s="5"/>
      <c r="J915" s="4"/>
      <c r="K915" s="4"/>
      <c r="L915" s="6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3"/>
      <c r="AL915" s="3"/>
      <c r="AM915" s="3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8"/>
      <c r="BU915" s="8"/>
      <c r="BV915" s="8"/>
      <c r="BW915" s="8"/>
      <c r="BX915" s="3"/>
      <c r="BY915" s="3"/>
      <c r="BZ915" s="3"/>
      <c r="CA915" s="8"/>
      <c r="CB915" s="8"/>
      <c r="CC915" s="8"/>
      <c r="CD915" s="8"/>
      <c r="CE915" s="8"/>
      <c r="CF915" s="8"/>
      <c r="CG915" s="9"/>
      <c r="CH915" s="8"/>
      <c r="CI915" s="8"/>
      <c r="CJ915" s="8"/>
      <c r="CK915" s="8"/>
      <c r="CL915" s="8"/>
      <c r="CM915" s="8"/>
      <c r="CN915" s="8"/>
      <c r="CO915" s="8"/>
      <c r="CP915" s="8"/>
      <c r="CQ915" s="9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8"/>
      <c r="DC915" s="8"/>
      <c r="DD915" s="8"/>
      <c r="DE915" s="8"/>
      <c r="DF915" s="9"/>
      <c r="DG915" s="9"/>
      <c r="DH915" s="10"/>
      <c r="DI915" s="9"/>
      <c r="DJ915" s="9"/>
      <c r="DK915" s="3"/>
      <c r="DL915" s="3"/>
      <c r="DM915" s="3"/>
    </row>
    <row r="916" ht="11.25" customHeight="1">
      <c r="A916" s="3"/>
      <c r="B916" s="2"/>
      <c r="C916" s="3"/>
      <c r="D916" s="3"/>
      <c r="E916" s="3"/>
      <c r="F916" s="4"/>
      <c r="G916" s="4"/>
      <c r="H916" s="4"/>
      <c r="I916" s="5"/>
      <c r="J916" s="4"/>
      <c r="K916" s="4"/>
      <c r="L916" s="6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3"/>
      <c r="AL916" s="3"/>
      <c r="AM916" s="3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8"/>
      <c r="BU916" s="8"/>
      <c r="BV916" s="8"/>
      <c r="BW916" s="8"/>
      <c r="BX916" s="3"/>
      <c r="BY916" s="3"/>
      <c r="BZ916" s="3"/>
      <c r="CA916" s="8"/>
      <c r="CB916" s="8"/>
      <c r="CC916" s="8"/>
      <c r="CD916" s="8"/>
      <c r="CE916" s="8"/>
      <c r="CF916" s="8"/>
      <c r="CG916" s="9"/>
      <c r="CH916" s="8"/>
      <c r="CI916" s="8"/>
      <c r="CJ916" s="8"/>
      <c r="CK916" s="8"/>
      <c r="CL916" s="8"/>
      <c r="CM916" s="8"/>
      <c r="CN916" s="8"/>
      <c r="CO916" s="8"/>
      <c r="CP916" s="8"/>
      <c r="CQ916" s="9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8"/>
      <c r="DC916" s="8"/>
      <c r="DD916" s="8"/>
      <c r="DE916" s="8"/>
      <c r="DF916" s="9"/>
      <c r="DG916" s="9"/>
      <c r="DH916" s="10"/>
      <c r="DI916" s="9"/>
      <c r="DJ916" s="9"/>
      <c r="DK916" s="3"/>
      <c r="DL916" s="3"/>
      <c r="DM916" s="3"/>
    </row>
    <row r="917" ht="11.25" customHeight="1">
      <c r="A917" s="3"/>
      <c r="B917" s="2"/>
      <c r="C917" s="3"/>
      <c r="D917" s="3"/>
      <c r="E917" s="3"/>
      <c r="F917" s="4"/>
      <c r="G917" s="4"/>
      <c r="H917" s="4"/>
      <c r="I917" s="5"/>
      <c r="J917" s="4"/>
      <c r="K917" s="4"/>
      <c r="L917" s="6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3"/>
      <c r="AL917" s="3"/>
      <c r="AM917" s="3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8"/>
      <c r="BU917" s="8"/>
      <c r="BV917" s="8"/>
      <c r="BW917" s="8"/>
      <c r="BX917" s="3"/>
      <c r="BY917" s="3"/>
      <c r="BZ917" s="3"/>
      <c r="CA917" s="8"/>
      <c r="CB917" s="8"/>
      <c r="CC917" s="8"/>
      <c r="CD917" s="8"/>
      <c r="CE917" s="8"/>
      <c r="CF917" s="8"/>
      <c r="CG917" s="9"/>
      <c r="CH917" s="8"/>
      <c r="CI917" s="8"/>
      <c r="CJ917" s="8"/>
      <c r="CK917" s="8"/>
      <c r="CL917" s="8"/>
      <c r="CM917" s="8"/>
      <c r="CN917" s="8"/>
      <c r="CO917" s="8"/>
      <c r="CP917" s="8"/>
      <c r="CQ917" s="9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8"/>
      <c r="DC917" s="8"/>
      <c r="DD917" s="8"/>
      <c r="DE917" s="8"/>
      <c r="DF917" s="9"/>
      <c r="DG917" s="9"/>
      <c r="DH917" s="10"/>
      <c r="DI917" s="9"/>
      <c r="DJ917" s="9"/>
      <c r="DK917" s="3"/>
      <c r="DL917" s="3"/>
      <c r="DM917" s="3"/>
    </row>
    <row r="918" ht="11.25" customHeight="1">
      <c r="A918" s="3"/>
      <c r="B918" s="2"/>
      <c r="C918" s="3"/>
      <c r="D918" s="3"/>
      <c r="E918" s="3"/>
      <c r="F918" s="4"/>
      <c r="G918" s="4"/>
      <c r="H918" s="4"/>
      <c r="I918" s="5"/>
      <c r="J918" s="4"/>
      <c r="K918" s="4"/>
      <c r="L918" s="6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3"/>
      <c r="AL918" s="3"/>
      <c r="AM918" s="3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8"/>
      <c r="BU918" s="8"/>
      <c r="BV918" s="8"/>
      <c r="BW918" s="8"/>
      <c r="BX918" s="3"/>
      <c r="BY918" s="3"/>
      <c r="BZ918" s="3"/>
      <c r="CA918" s="8"/>
      <c r="CB918" s="8"/>
      <c r="CC918" s="8"/>
      <c r="CD918" s="8"/>
      <c r="CE918" s="8"/>
      <c r="CF918" s="8"/>
      <c r="CG918" s="9"/>
      <c r="CH918" s="8"/>
      <c r="CI918" s="8"/>
      <c r="CJ918" s="8"/>
      <c r="CK918" s="8"/>
      <c r="CL918" s="8"/>
      <c r="CM918" s="8"/>
      <c r="CN918" s="8"/>
      <c r="CO918" s="8"/>
      <c r="CP918" s="8"/>
      <c r="CQ918" s="9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8"/>
      <c r="DC918" s="8"/>
      <c r="DD918" s="8"/>
      <c r="DE918" s="8"/>
      <c r="DF918" s="9"/>
      <c r="DG918" s="9"/>
      <c r="DH918" s="10"/>
      <c r="DI918" s="9"/>
      <c r="DJ918" s="9"/>
      <c r="DK918" s="3"/>
      <c r="DL918" s="3"/>
      <c r="DM918" s="3"/>
    </row>
    <row r="919" ht="11.25" customHeight="1">
      <c r="A919" s="3"/>
      <c r="B919" s="2"/>
      <c r="C919" s="3"/>
      <c r="D919" s="3"/>
      <c r="E919" s="3"/>
      <c r="F919" s="4"/>
      <c r="G919" s="4"/>
      <c r="H919" s="4"/>
      <c r="I919" s="5"/>
      <c r="J919" s="4"/>
      <c r="K919" s="4"/>
      <c r="L919" s="6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3"/>
      <c r="AL919" s="3"/>
      <c r="AM919" s="3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8"/>
      <c r="BU919" s="8"/>
      <c r="BV919" s="8"/>
      <c r="BW919" s="8"/>
      <c r="BX919" s="3"/>
      <c r="BY919" s="3"/>
      <c r="BZ919" s="3"/>
      <c r="CA919" s="8"/>
      <c r="CB919" s="8"/>
      <c r="CC919" s="8"/>
      <c r="CD919" s="8"/>
      <c r="CE919" s="8"/>
      <c r="CF919" s="8"/>
      <c r="CG919" s="9"/>
      <c r="CH919" s="8"/>
      <c r="CI919" s="8"/>
      <c r="CJ919" s="8"/>
      <c r="CK919" s="8"/>
      <c r="CL919" s="8"/>
      <c r="CM919" s="8"/>
      <c r="CN919" s="8"/>
      <c r="CO919" s="8"/>
      <c r="CP919" s="8"/>
      <c r="CQ919" s="9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8"/>
      <c r="DC919" s="8"/>
      <c r="DD919" s="8"/>
      <c r="DE919" s="8"/>
      <c r="DF919" s="9"/>
      <c r="DG919" s="9"/>
      <c r="DH919" s="10"/>
      <c r="DI919" s="9"/>
      <c r="DJ919" s="9"/>
      <c r="DK919" s="3"/>
      <c r="DL919" s="3"/>
      <c r="DM919" s="3"/>
    </row>
    <row r="920" ht="11.25" customHeight="1">
      <c r="A920" s="3"/>
      <c r="B920" s="2"/>
      <c r="C920" s="3"/>
      <c r="D920" s="3"/>
      <c r="E920" s="3"/>
      <c r="F920" s="4"/>
      <c r="G920" s="4"/>
      <c r="H920" s="4"/>
      <c r="I920" s="5"/>
      <c r="J920" s="4"/>
      <c r="K920" s="4"/>
      <c r="L920" s="6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3"/>
      <c r="AL920" s="3"/>
      <c r="AM920" s="3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8"/>
      <c r="BU920" s="8"/>
      <c r="BV920" s="8"/>
      <c r="BW920" s="8"/>
      <c r="BX920" s="3"/>
      <c r="BY920" s="3"/>
      <c r="BZ920" s="3"/>
      <c r="CA920" s="8"/>
      <c r="CB920" s="8"/>
      <c r="CC920" s="8"/>
      <c r="CD920" s="8"/>
      <c r="CE920" s="8"/>
      <c r="CF920" s="8"/>
      <c r="CG920" s="9"/>
      <c r="CH920" s="8"/>
      <c r="CI920" s="8"/>
      <c r="CJ920" s="8"/>
      <c r="CK920" s="8"/>
      <c r="CL920" s="8"/>
      <c r="CM920" s="8"/>
      <c r="CN920" s="8"/>
      <c r="CO920" s="8"/>
      <c r="CP920" s="8"/>
      <c r="CQ920" s="9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8"/>
      <c r="DC920" s="8"/>
      <c r="DD920" s="8"/>
      <c r="DE920" s="8"/>
      <c r="DF920" s="9"/>
      <c r="DG920" s="9"/>
      <c r="DH920" s="10"/>
      <c r="DI920" s="9"/>
      <c r="DJ920" s="9"/>
      <c r="DK920" s="3"/>
      <c r="DL920" s="3"/>
      <c r="DM920" s="3"/>
    </row>
    <row r="921" ht="11.25" customHeight="1">
      <c r="A921" s="3"/>
      <c r="B921" s="2"/>
      <c r="C921" s="3"/>
      <c r="D921" s="3"/>
      <c r="E921" s="3"/>
      <c r="F921" s="4"/>
      <c r="G921" s="4"/>
      <c r="H921" s="4"/>
      <c r="I921" s="5"/>
      <c r="J921" s="4"/>
      <c r="K921" s="4"/>
      <c r="L921" s="6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3"/>
      <c r="AL921" s="3"/>
      <c r="AM921" s="3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8"/>
      <c r="BU921" s="8"/>
      <c r="BV921" s="8"/>
      <c r="BW921" s="8"/>
      <c r="BX921" s="3"/>
      <c r="BY921" s="3"/>
      <c r="BZ921" s="3"/>
      <c r="CA921" s="8"/>
      <c r="CB921" s="8"/>
      <c r="CC921" s="8"/>
      <c r="CD921" s="8"/>
      <c r="CE921" s="8"/>
      <c r="CF921" s="8"/>
      <c r="CG921" s="9"/>
      <c r="CH921" s="8"/>
      <c r="CI921" s="8"/>
      <c r="CJ921" s="8"/>
      <c r="CK921" s="8"/>
      <c r="CL921" s="8"/>
      <c r="CM921" s="8"/>
      <c r="CN921" s="8"/>
      <c r="CO921" s="8"/>
      <c r="CP921" s="8"/>
      <c r="CQ921" s="9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8"/>
      <c r="DC921" s="8"/>
      <c r="DD921" s="8"/>
      <c r="DE921" s="8"/>
      <c r="DF921" s="9"/>
      <c r="DG921" s="9"/>
      <c r="DH921" s="10"/>
      <c r="DI921" s="9"/>
      <c r="DJ921" s="9"/>
      <c r="DK921" s="3"/>
      <c r="DL921" s="3"/>
      <c r="DM921" s="3"/>
    </row>
    <row r="922" ht="11.25" customHeight="1">
      <c r="A922" s="3"/>
      <c r="B922" s="2"/>
      <c r="C922" s="3"/>
      <c r="D922" s="3"/>
      <c r="E922" s="3"/>
      <c r="F922" s="4"/>
      <c r="G922" s="4"/>
      <c r="H922" s="4"/>
      <c r="I922" s="5"/>
      <c r="J922" s="4"/>
      <c r="K922" s="4"/>
      <c r="L922" s="6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3"/>
      <c r="AL922" s="3"/>
      <c r="AM922" s="3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8"/>
      <c r="BU922" s="8"/>
      <c r="BV922" s="8"/>
      <c r="BW922" s="8"/>
      <c r="BX922" s="3"/>
      <c r="BY922" s="3"/>
      <c r="BZ922" s="3"/>
      <c r="CA922" s="8"/>
      <c r="CB922" s="8"/>
      <c r="CC922" s="8"/>
      <c r="CD922" s="8"/>
      <c r="CE922" s="8"/>
      <c r="CF922" s="8"/>
      <c r="CG922" s="9"/>
      <c r="CH922" s="8"/>
      <c r="CI922" s="8"/>
      <c r="CJ922" s="8"/>
      <c r="CK922" s="8"/>
      <c r="CL922" s="8"/>
      <c r="CM922" s="8"/>
      <c r="CN922" s="8"/>
      <c r="CO922" s="8"/>
      <c r="CP922" s="8"/>
      <c r="CQ922" s="9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8"/>
      <c r="DC922" s="8"/>
      <c r="DD922" s="8"/>
      <c r="DE922" s="8"/>
      <c r="DF922" s="9"/>
      <c r="DG922" s="9"/>
      <c r="DH922" s="10"/>
      <c r="DI922" s="9"/>
      <c r="DJ922" s="9"/>
      <c r="DK922" s="3"/>
      <c r="DL922" s="3"/>
      <c r="DM922" s="3"/>
    </row>
    <row r="923" ht="11.25" customHeight="1">
      <c r="A923" s="3"/>
      <c r="B923" s="2"/>
      <c r="C923" s="3"/>
      <c r="D923" s="3"/>
      <c r="E923" s="3"/>
      <c r="F923" s="4"/>
      <c r="G923" s="4"/>
      <c r="H923" s="4"/>
      <c r="I923" s="5"/>
      <c r="J923" s="4"/>
      <c r="K923" s="4"/>
      <c r="L923" s="6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3"/>
      <c r="AL923" s="3"/>
      <c r="AM923" s="3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8"/>
      <c r="BU923" s="8"/>
      <c r="BV923" s="8"/>
      <c r="BW923" s="8"/>
      <c r="BX923" s="3"/>
      <c r="BY923" s="3"/>
      <c r="BZ923" s="3"/>
      <c r="CA923" s="8"/>
      <c r="CB923" s="8"/>
      <c r="CC923" s="8"/>
      <c r="CD923" s="8"/>
      <c r="CE923" s="8"/>
      <c r="CF923" s="8"/>
      <c r="CG923" s="9"/>
      <c r="CH923" s="8"/>
      <c r="CI923" s="8"/>
      <c r="CJ923" s="8"/>
      <c r="CK923" s="8"/>
      <c r="CL923" s="8"/>
      <c r="CM923" s="8"/>
      <c r="CN923" s="8"/>
      <c r="CO923" s="8"/>
      <c r="CP923" s="8"/>
      <c r="CQ923" s="9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8"/>
      <c r="DC923" s="8"/>
      <c r="DD923" s="8"/>
      <c r="DE923" s="8"/>
      <c r="DF923" s="9"/>
      <c r="DG923" s="9"/>
      <c r="DH923" s="10"/>
      <c r="DI923" s="9"/>
      <c r="DJ923" s="9"/>
      <c r="DK923" s="3"/>
      <c r="DL923" s="3"/>
      <c r="DM923" s="3"/>
    </row>
    <row r="924" ht="11.25" customHeight="1">
      <c r="A924" s="3"/>
      <c r="B924" s="2"/>
      <c r="C924" s="3"/>
      <c r="D924" s="3"/>
      <c r="E924" s="3"/>
      <c r="F924" s="4"/>
      <c r="G924" s="4"/>
      <c r="H924" s="4"/>
      <c r="I924" s="5"/>
      <c r="J924" s="4"/>
      <c r="K924" s="4"/>
      <c r="L924" s="6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3"/>
      <c r="AL924" s="3"/>
      <c r="AM924" s="3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8"/>
      <c r="BU924" s="8"/>
      <c r="BV924" s="8"/>
      <c r="BW924" s="8"/>
      <c r="BX924" s="3"/>
      <c r="BY924" s="3"/>
      <c r="BZ924" s="3"/>
      <c r="CA924" s="8"/>
      <c r="CB924" s="8"/>
      <c r="CC924" s="8"/>
      <c r="CD924" s="8"/>
      <c r="CE924" s="8"/>
      <c r="CF924" s="8"/>
      <c r="CG924" s="9"/>
      <c r="CH924" s="8"/>
      <c r="CI924" s="8"/>
      <c r="CJ924" s="8"/>
      <c r="CK924" s="8"/>
      <c r="CL924" s="8"/>
      <c r="CM924" s="8"/>
      <c r="CN924" s="8"/>
      <c r="CO924" s="8"/>
      <c r="CP924" s="8"/>
      <c r="CQ924" s="9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8"/>
      <c r="DC924" s="8"/>
      <c r="DD924" s="8"/>
      <c r="DE924" s="8"/>
      <c r="DF924" s="9"/>
      <c r="DG924" s="9"/>
      <c r="DH924" s="10"/>
      <c r="DI924" s="9"/>
      <c r="DJ924" s="9"/>
      <c r="DK924" s="3"/>
      <c r="DL924" s="3"/>
      <c r="DM924" s="3"/>
    </row>
    <row r="925" ht="11.25" customHeight="1">
      <c r="A925" s="3"/>
      <c r="B925" s="2"/>
      <c r="C925" s="3"/>
      <c r="D925" s="3"/>
      <c r="E925" s="3"/>
      <c r="F925" s="4"/>
      <c r="G925" s="4"/>
      <c r="H925" s="4"/>
      <c r="I925" s="5"/>
      <c r="J925" s="4"/>
      <c r="K925" s="4"/>
      <c r="L925" s="6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3"/>
      <c r="AL925" s="3"/>
      <c r="AM925" s="3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8"/>
      <c r="BU925" s="8"/>
      <c r="BV925" s="8"/>
      <c r="BW925" s="8"/>
      <c r="BX925" s="3"/>
      <c r="BY925" s="3"/>
      <c r="BZ925" s="3"/>
      <c r="CA925" s="8"/>
      <c r="CB925" s="8"/>
      <c r="CC925" s="8"/>
      <c r="CD925" s="8"/>
      <c r="CE925" s="8"/>
      <c r="CF925" s="8"/>
      <c r="CG925" s="9"/>
      <c r="CH925" s="8"/>
      <c r="CI925" s="8"/>
      <c r="CJ925" s="8"/>
      <c r="CK925" s="8"/>
      <c r="CL925" s="8"/>
      <c r="CM925" s="8"/>
      <c r="CN925" s="8"/>
      <c r="CO925" s="8"/>
      <c r="CP925" s="8"/>
      <c r="CQ925" s="9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8"/>
      <c r="DC925" s="8"/>
      <c r="DD925" s="8"/>
      <c r="DE925" s="8"/>
      <c r="DF925" s="9"/>
      <c r="DG925" s="9"/>
      <c r="DH925" s="10"/>
      <c r="DI925" s="9"/>
      <c r="DJ925" s="9"/>
      <c r="DK925" s="3"/>
      <c r="DL925" s="3"/>
      <c r="DM925" s="3"/>
    </row>
    <row r="926" ht="11.25" customHeight="1">
      <c r="A926" s="3"/>
      <c r="B926" s="2"/>
      <c r="C926" s="3"/>
      <c r="D926" s="3"/>
      <c r="E926" s="3"/>
      <c r="F926" s="4"/>
      <c r="G926" s="4"/>
      <c r="H926" s="4"/>
      <c r="I926" s="5"/>
      <c r="J926" s="4"/>
      <c r="K926" s="4"/>
      <c r="L926" s="6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3"/>
      <c r="AL926" s="3"/>
      <c r="AM926" s="3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8"/>
      <c r="BU926" s="8"/>
      <c r="BV926" s="8"/>
      <c r="BW926" s="8"/>
      <c r="BX926" s="3"/>
      <c r="BY926" s="3"/>
      <c r="BZ926" s="3"/>
      <c r="CA926" s="8"/>
      <c r="CB926" s="8"/>
      <c r="CC926" s="8"/>
      <c r="CD926" s="8"/>
      <c r="CE926" s="8"/>
      <c r="CF926" s="8"/>
      <c r="CG926" s="9"/>
      <c r="CH926" s="8"/>
      <c r="CI926" s="8"/>
      <c r="CJ926" s="8"/>
      <c r="CK926" s="8"/>
      <c r="CL926" s="8"/>
      <c r="CM926" s="8"/>
      <c r="CN926" s="8"/>
      <c r="CO926" s="8"/>
      <c r="CP926" s="8"/>
      <c r="CQ926" s="9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8"/>
      <c r="DC926" s="8"/>
      <c r="DD926" s="8"/>
      <c r="DE926" s="8"/>
      <c r="DF926" s="9"/>
      <c r="DG926" s="9"/>
      <c r="DH926" s="10"/>
      <c r="DI926" s="9"/>
      <c r="DJ926" s="9"/>
      <c r="DK926" s="3"/>
      <c r="DL926" s="3"/>
      <c r="DM926" s="3"/>
    </row>
    <row r="927" ht="11.25" customHeight="1">
      <c r="A927" s="3"/>
      <c r="B927" s="2"/>
      <c r="C927" s="3"/>
      <c r="D927" s="3"/>
      <c r="E927" s="3"/>
      <c r="F927" s="4"/>
      <c r="G927" s="4"/>
      <c r="H927" s="4"/>
      <c r="I927" s="5"/>
      <c r="J927" s="4"/>
      <c r="K927" s="4"/>
      <c r="L927" s="6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3"/>
      <c r="AL927" s="3"/>
      <c r="AM927" s="3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8"/>
      <c r="BU927" s="8"/>
      <c r="BV927" s="8"/>
      <c r="BW927" s="8"/>
      <c r="BX927" s="3"/>
      <c r="BY927" s="3"/>
      <c r="BZ927" s="3"/>
      <c r="CA927" s="8"/>
      <c r="CB927" s="8"/>
      <c r="CC927" s="8"/>
      <c r="CD927" s="8"/>
      <c r="CE927" s="8"/>
      <c r="CF927" s="8"/>
      <c r="CG927" s="9"/>
      <c r="CH927" s="8"/>
      <c r="CI927" s="8"/>
      <c r="CJ927" s="8"/>
      <c r="CK927" s="8"/>
      <c r="CL927" s="8"/>
      <c r="CM927" s="8"/>
      <c r="CN927" s="8"/>
      <c r="CO927" s="8"/>
      <c r="CP927" s="8"/>
      <c r="CQ927" s="9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8"/>
      <c r="DC927" s="8"/>
      <c r="DD927" s="8"/>
      <c r="DE927" s="8"/>
      <c r="DF927" s="9"/>
      <c r="DG927" s="9"/>
      <c r="DH927" s="10"/>
      <c r="DI927" s="9"/>
      <c r="DJ927" s="9"/>
      <c r="DK927" s="3"/>
      <c r="DL927" s="3"/>
      <c r="DM927" s="3"/>
    </row>
    <row r="928" ht="11.25" customHeight="1">
      <c r="A928" s="3"/>
      <c r="B928" s="2"/>
      <c r="C928" s="3"/>
      <c r="D928" s="3"/>
      <c r="E928" s="3"/>
      <c r="F928" s="4"/>
      <c r="G928" s="4"/>
      <c r="H928" s="4"/>
      <c r="I928" s="5"/>
      <c r="J928" s="4"/>
      <c r="K928" s="4"/>
      <c r="L928" s="6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3"/>
      <c r="AL928" s="3"/>
      <c r="AM928" s="3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8"/>
      <c r="BU928" s="8"/>
      <c r="BV928" s="8"/>
      <c r="BW928" s="8"/>
      <c r="BX928" s="3"/>
      <c r="BY928" s="3"/>
      <c r="BZ928" s="3"/>
      <c r="CA928" s="8"/>
      <c r="CB928" s="8"/>
      <c r="CC928" s="8"/>
      <c r="CD928" s="8"/>
      <c r="CE928" s="8"/>
      <c r="CF928" s="8"/>
      <c r="CG928" s="9"/>
      <c r="CH928" s="8"/>
      <c r="CI928" s="8"/>
      <c r="CJ928" s="8"/>
      <c r="CK928" s="8"/>
      <c r="CL928" s="8"/>
      <c r="CM928" s="8"/>
      <c r="CN928" s="8"/>
      <c r="CO928" s="8"/>
      <c r="CP928" s="8"/>
      <c r="CQ928" s="9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8"/>
      <c r="DC928" s="8"/>
      <c r="DD928" s="8"/>
      <c r="DE928" s="8"/>
      <c r="DF928" s="9"/>
      <c r="DG928" s="9"/>
      <c r="DH928" s="10"/>
      <c r="DI928" s="9"/>
      <c r="DJ928" s="9"/>
      <c r="DK928" s="3"/>
      <c r="DL928" s="3"/>
      <c r="DM928" s="3"/>
    </row>
    <row r="929" ht="11.25" customHeight="1">
      <c r="A929" s="3"/>
      <c r="B929" s="2"/>
      <c r="C929" s="3"/>
      <c r="D929" s="3"/>
      <c r="E929" s="3"/>
      <c r="F929" s="4"/>
      <c r="G929" s="4"/>
      <c r="H929" s="4"/>
      <c r="I929" s="5"/>
      <c r="J929" s="4"/>
      <c r="K929" s="4"/>
      <c r="L929" s="6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3"/>
      <c r="AL929" s="3"/>
      <c r="AM929" s="3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8"/>
      <c r="BU929" s="8"/>
      <c r="BV929" s="8"/>
      <c r="BW929" s="8"/>
      <c r="BX929" s="3"/>
      <c r="BY929" s="3"/>
      <c r="BZ929" s="3"/>
      <c r="CA929" s="8"/>
      <c r="CB929" s="8"/>
      <c r="CC929" s="8"/>
      <c r="CD929" s="8"/>
      <c r="CE929" s="8"/>
      <c r="CF929" s="8"/>
      <c r="CG929" s="9"/>
      <c r="CH929" s="8"/>
      <c r="CI929" s="8"/>
      <c r="CJ929" s="8"/>
      <c r="CK929" s="8"/>
      <c r="CL929" s="8"/>
      <c r="CM929" s="8"/>
      <c r="CN929" s="8"/>
      <c r="CO929" s="8"/>
      <c r="CP929" s="8"/>
      <c r="CQ929" s="9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8"/>
      <c r="DC929" s="8"/>
      <c r="DD929" s="8"/>
      <c r="DE929" s="8"/>
      <c r="DF929" s="9"/>
      <c r="DG929" s="9"/>
      <c r="DH929" s="10"/>
      <c r="DI929" s="9"/>
      <c r="DJ929" s="9"/>
      <c r="DK929" s="3"/>
      <c r="DL929" s="3"/>
      <c r="DM929" s="3"/>
    </row>
    <row r="930" ht="11.25" customHeight="1">
      <c r="A930" s="3"/>
      <c r="B930" s="2"/>
      <c r="C930" s="3"/>
      <c r="D930" s="3"/>
      <c r="E930" s="3"/>
      <c r="F930" s="4"/>
      <c r="G930" s="4"/>
      <c r="H930" s="4"/>
      <c r="I930" s="5"/>
      <c r="J930" s="4"/>
      <c r="K930" s="4"/>
      <c r="L930" s="6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3"/>
      <c r="AL930" s="3"/>
      <c r="AM930" s="3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8"/>
      <c r="BU930" s="8"/>
      <c r="BV930" s="8"/>
      <c r="BW930" s="8"/>
      <c r="BX930" s="3"/>
      <c r="BY930" s="3"/>
      <c r="BZ930" s="3"/>
      <c r="CA930" s="8"/>
      <c r="CB930" s="8"/>
      <c r="CC930" s="8"/>
      <c r="CD930" s="8"/>
      <c r="CE930" s="8"/>
      <c r="CF930" s="8"/>
      <c r="CG930" s="9"/>
      <c r="CH930" s="8"/>
      <c r="CI930" s="8"/>
      <c r="CJ930" s="8"/>
      <c r="CK930" s="8"/>
      <c r="CL930" s="8"/>
      <c r="CM930" s="8"/>
      <c r="CN930" s="8"/>
      <c r="CO930" s="8"/>
      <c r="CP930" s="8"/>
      <c r="CQ930" s="9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8"/>
      <c r="DC930" s="8"/>
      <c r="DD930" s="8"/>
      <c r="DE930" s="8"/>
      <c r="DF930" s="9"/>
      <c r="DG930" s="9"/>
      <c r="DH930" s="10"/>
      <c r="DI930" s="9"/>
      <c r="DJ930" s="9"/>
      <c r="DK930" s="3"/>
      <c r="DL930" s="3"/>
      <c r="DM930" s="3"/>
    </row>
    <row r="931" ht="11.25" customHeight="1">
      <c r="A931" s="3"/>
      <c r="B931" s="2"/>
      <c r="C931" s="3"/>
      <c r="D931" s="3"/>
      <c r="E931" s="3"/>
      <c r="F931" s="4"/>
      <c r="G931" s="4"/>
      <c r="H931" s="4"/>
      <c r="I931" s="5"/>
      <c r="J931" s="4"/>
      <c r="K931" s="4"/>
      <c r="L931" s="6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3"/>
      <c r="AL931" s="3"/>
      <c r="AM931" s="3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8"/>
      <c r="BU931" s="8"/>
      <c r="BV931" s="8"/>
      <c r="BW931" s="8"/>
      <c r="BX931" s="3"/>
      <c r="BY931" s="3"/>
      <c r="BZ931" s="3"/>
      <c r="CA931" s="8"/>
      <c r="CB931" s="8"/>
      <c r="CC931" s="8"/>
      <c r="CD931" s="8"/>
      <c r="CE931" s="8"/>
      <c r="CF931" s="8"/>
      <c r="CG931" s="9"/>
      <c r="CH931" s="8"/>
      <c r="CI931" s="8"/>
      <c r="CJ931" s="8"/>
      <c r="CK931" s="8"/>
      <c r="CL931" s="8"/>
      <c r="CM931" s="8"/>
      <c r="CN931" s="8"/>
      <c r="CO931" s="8"/>
      <c r="CP931" s="8"/>
      <c r="CQ931" s="9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8"/>
      <c r="DC931" s="8"/>
      <c r="DD931" s="8"/>
      <c r="DE931" s="8"/>
      <c r="DF931" s="9"/>
      <c r="DG931" s="9"/>
      <c r="DH931" s="10"/>
      <c r="DI931" s="9"/>
      <c r="DJ931" s="9"/>
      <c r="DK931" s="3"/>
      <c r="DL931" s="3"/>
      <c r="DM931" s="3"/>
    </row>
    <row r="932" ht="11.25" customHeight="1">
      <c r="A932" s="3"/>
      <c r="B932" s="2"/>
      <c r="C932" s="3"/>
      <c r="D932" s="3"/>
      <c r="E932" s="3"/>
      <c r="F932" s="4"/>
      <c r="G932" s="4"/>
      <c r="H932" s="4"/>
      <c r="I932" s="5"/>
      <c r="J932" s="4"/>
      <c r="K932" s="4"/>
      <c r="L932" s="6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3"/>
      <c r="AL932" s="3"/>
      <c r="AM932" s="3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8"/>
      <c r="BU932" s="8"/>
      <c r="BV932" s="8"/>
      <c r="BW932" s="8"/>
      <c r="BX932" s="3"/>
      <c r="BY932" s="3"/>
      <c r="BZ932" s="3"/>
      <c r="CA932" s="8"/>
      <c r="CB932" s="8"/>
      <c r="CC932" s="8"/>
      <c r="CD932" s="8"/>
      <c r="CE932" s="8"/>
      <c r="CF932" s="8"/>
      <c r="CG932" s="9"/>
      <c r="CH932" s="8"/>
      <c r="CI932" s="8"/>
      <c r="CJ932" s="8"/>
      <c r="CK932" s="8"/>
      <c r="CL932" s="8"/>
      <c r="CM932" s="8"/>
      <c r="CN932" s="8"/>
      <c r="CO932" s="8"/>
      <c r="CP932" s="8"/>
      <c r="CQ932" s="9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8"/>
      <c r="DC932" s="8"/>
      <c r="DD932" s="8"/>
      <c r="DE932" s="8"/>
      <c r="DF932" s="9"/>
      <c r="DG932" s="9"/>
      <c r="DH932" s="10"/>
      <c r="DI932" s="9"/>
      <c r="DJ932" s="9"/>
      <c r="DK932" s="3"/>
      <c r="DL932" s="3"/>
      <c r="DM932" s="3"/>
    </row>
    <row r="933" ht="11.25" customHeight="1">
      <c r="A933" s="3"/>
      <c r="B933" s="2"/>
      <c r="C933" s="3"/>
      <c r="D933" s="3"/>
      <c r="E933" s="3"/>
      <c r="F933" s="4"/>
      <c r="G933" s="4"/>
      <c r="H933" s="4"/>
      <c r="I933" s="5"/>
      <c r="J933" s="4"/>
      <c r="K933" s="4"/>
      <c r="L933" s="6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3"/>
      <c r="AL933" s="3"/>
      <c r="AM933" s="3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8"/>
      <c r="BU933" s="8"/>
      <c r="BV933" s="8"/>
      <c r="BW933" s="8"/>
      <c r="BX933" s="3"/>
      <c r="BY933" s="3"/>
      <c r="BZ933" s="3"/>
      <c r="CA933" s="8"/>
      <c r="CB933" s="8"/>
      <c r="CC933" s="8"/>
      <c r="CD933" s="8"/>
      <c r="CE933" s="8"/>
      <c r="CF933" s="8"/>
      <c r="CG933" s="9"/>
      <c r="CH933" s="8"/>
      <c r="CI933" s="8"/>
      <c r="CJ933" s="8"/>
      <c r="CK933" s="8"/>
      <c r="CL933" s="8"/>
      <c r="CM933" s="8"/>
      <c r="CN933" s="8"/>
      <c r="CO933" s="8"/>
      <c r="CP933" s="8"/>
      <c r="CQ933" s="9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8"/>
      <c r="DC933" s="8"/>
      <c r="DD933" s="8"/>
      <c r="DE933" s="8"/>
      <c r="DF933" s="9"/>
      <c r="DG933" s="9"/>
      <c r="DH933" s="10"/>
      <c r="DI933" s="9"/>
      <c r="DJ933" s="9"/>
      <c r="DK933" s="3"/>
      <c r="DL933" s="3"/>
      <c r="DM933" s="3"/>
    </row>
    <row r="934" ht="11.25" customHeight="1">
      <c r="A934" s="3"/>
      <c r="B934" s="2"/>
      <c r="C934" s="3"/>
      <c r="D934" s="3"/>
      <c r="E934" s="3"/>
      <c r="F934" s="4"/>
      <c r="G934" s="4"/>
      <c r="H934" s="4"/>
      <c r="I934" s="5"/>
      <c r="J934" s="4"/>
      <c r="K934" s="4"/>
      <c r="L934" s="6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3"/>
      <c r="AL934" s="3"/>
      <c r="AM934" s="3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8"/>
      <c r="BU934" s="8"/>
      <c r="BV934" s="8"/>
      <c r="BW934" s="8"/>
      <c r="BX934" s="3"/>
      <c r="BY934" s="3"/>
      <c r="BZ934" s="3"/>
      <c r="CA934" s="8"/>
      <c r="CB934" s="8"/>
      <c r="CC934" s="8"/>
      <c r="CD934" s="8"/>
      <c r="CE934" s="8"/>
      <c r="CF934" s="8"/>
      <c r="CG934" s="9"/>
      <c r="CH934" s="8"/>
      <c r="CI934" s="8"/>
      <c r="CJ934" s="8"/>
      <c r="CK934" s="8"/>
      <c r="CL934" s="8"/>
      <c r="CM934" s="8"/>
      <c r="CN934" s="8"/>
      <c r="CO934" s="8"/>
      <c r="CP934" s="8"/>
      <c r="CQ934" s="9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8"/>
      <c r="DC934" s="8"/>
      <c r="DD934" s="8"/>
      <c r="DE934" s="8"/>
      <c r="DF934" s="9"/>
      <c r="DG934" s="9"/>
      <c r="DH934" s="10"/>
      <c r="DI934" s="9"/>
      <c r="DJ934" s="9"/>
      <c r="DK934" s="3"/>
      <c r="DL934" s="3"/>
      <c r="DM934" s="3"/>
    </row>
    <row r="935" ht="11.25" customHeight="1">
      <c r="A935" s="3"/>
      <c r="B935" s="2"/>
      <c r="C935" s="3"/>
      <c r="D935" s="3"/>
      <c r="E935" s="3"/>
      <c r="F935" s="4"/>
      <c r="G935" s="4"/>
      <c r="H935" s="4"/>
      <c r="I935" s="5"/>
      <c r="J935" s="4"/>
      <c r="K935" s="4"/>
      <c r="L935" s="6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3"/>
      <c r="AL935" s="3"/>
      <c r="AM935" s="3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8"/>
      <c r="BU935" s="8"/>
      <c r="BV935" s="8"/>
      <c r="BW935" s="8"/>
      <c r="BX935" s="3"/>
      <c r="BY935" s="3"/>
      <c r="BZ935" s="3"/>
      <c r="CA935" s="8"/>
      <c r="CB935" s="8"/>
      <c r="CC935" s="8"/>
      <c r="CD935" s="8"/>
      <c r="CE935" s="8"/>
      <c r="CF935" s="8"/>
      <c r="CG935" s="9"/>
      <c r="CH935" s="8"/>
      <c r="CI935" s="8"/>
      <c r="CJ935" s="8"/>
      <c r="CK935" s="8"/>
      <c r="CL935" s="8"/>
      <c r="CM935" s="8"/>
      <c r="CN935" s="8"/>
      <c r="CO935" s="8"/>
      <c r="CP935" s="8"/>
      <c r="CQ935" s="9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8"/>
      <c r="DC935" s="8"/>
      <c r="DD935" s="8"/>
      <c r="DE935" s="8"/>
      <c r="DF935" s="9"/>
      <c r="DG935" s="9"/>
      <c r="DH935" s="10"/>
      <c r="DI935" s="9"/>
      <c r="DJ935" s="9"/>
      <c r="DK935" s="3"/>
      <c r="DL935" s="3"/>
      <c r="DM935" s="3"/>
    </row>
  </sheetData>
  <autoFilter ref="$A$30:$DM$31"/>
  <mergeCells count="29">
    <mergeCell ref="O28:O29"/>
    <mergeCell ref="P28:R28"/>
    <mergeCell ref="AE28:AE29"/>
    <mergeCell ref="AF28:AF29"/>
    <mergeCell ref="E27:E29"/>
    <mergeCell ref="I27:S27"/>
    <mergeCell ref="T27:Z27"/>
    <mergeCell ref="AA27:AB27"/>
    <mergeCell ref="AC27:AG27"/>
    <mergeCell ref="AH27:AJ27"/>
    <mergeCell ref="BT27:BT28"/>
    <mergeCell ref="AG28:AG29"/>
    <mergeCell ref="BU27:BU28"/>
    <mergeCell ref="DF27:DF28"/>
    <mergeCell ref="DG27:DG28"/>
    <mergeCell ref="DH27:DH28"/>
    <mergeCell ref="DK27:DL29"/>
    <mergeCell ref="F28:H28"/>
    <mergeCell ref="I28:K28"/>
    <mergeCell ref="L28:M28"/>
    <mergeCell ref="N28:N29"/>
    <mergeCell ref="S28:S29"/>
    <mergeCell ref="T28:U28"/>
    <mergeCell ref="V28:V29"/>
    <mergeCell ref="W28:W29"/>
    <mergeCell ref="X28:X29"/>
    <mergeCell ref="Z28:Z29"/>
    <mergeCell ref="AA28:AA29"/>
    <mergeCell ref="AB28:AB29"/>
  </mergeCells>
  <conditionalFormatting sqref="AO31:BV31">
    <cfRule type="expression" dxfId="0" priority="1">
      <formula>AND($AQ$4=TRUE,AO$10=1)</formula>
    </cfRule>
  </conditionalFormatting>
  <conditionalFormatting sqref="AO31:DE31">
    <cfRule type="expression" dxfId="1" priority="2">
      <formula>AND($AQ$5=TRUE,AO$9=1)</formula>
    </cfRule>
  </conditionalFormatting>
  <conditionalFormatting sqref="AO31:DE31">
    <cfRule type="containsText" dxfId="2" priority="3" operator="containsText" text="/">
      <formula>NOT(ISERROR(SEARCH(("/"),(AO31))))</formula>
    </cfRule>
  </conditionalFormatting>
  <conditionalFormatting sqref="AO31:DE31">
    <cfRule type="containsText" dxfId="2" priority="4" operator="containsText" text="P">
      <formula>NOT(ISERROR(SEARCH(("P"),(AO31))))</formula>
    </cfRule>
  </conditionalFormatting>
  <conditionalFormatting sqref="AP31:BP31">
    <cfRule type="expression" dxfId="1" priority="5">
      <formula>AND($AQ$4=TRUE,AP$27="CN")</formula>
    </cfRule>
  </conditionalFormatting>
  <conditionalFormatting sqref="AO31:BR31">
    <cfRule type="expression" dxfId="0" priority="6">
      <formula>AND($AQ$4=TRUE,AO$10=1)</formula>
    </cfRule>
  </conditionalFormatting>
  <conditionalFormatting sqref="AP31:BR31">
    <cfRule type="expression" dxfId="1" priority="7">
      <formula>AND($AQ$5=TRUE,AP$9=1)</formula>
    </cfRule>
  </conditionalFormatting>
  <conditionalFormatting sqref="AP31:BS31">
    <cfRule type="expression" dxfId="0" priority="8">
      <formula>AND($AQ$4=TRUE,AP$10=1)</formula>
    </cfRule>
  </conditionalFormatting>
  <conditionalFormatting sqref="AP31:BS31">
    <cfRule type="expression" dxfId="1" priority="9">
      <formula>AND($AQ$5=TRUE,AP$9=1)</formula>
    </cfRule>
  </conditionalFormatting>
  <conditionalFormatting sqref="AP31:BS31">
    <cfRule type="expression" dxfId="1" priority="10">
      <formula>AND($AQ$4=TRUE,AP$27="CN")</formula>
    </cfRule>
  </conditionalFormatting>
  <conditionalFormatting sqref="BA31 BO31">
    <cfRule type="expression" dxfId="1" priority="11">
      <formula>AND($AQ$5=TRUE,BA$9=1)</formula>
    </cfRule>
  </conditionalFormatting>
  <conditionalFormatting sqref="BA31 BO31">
    <cfRule type="expression" dxfId="1" priority="12">
      <formula>AND($AQ$4=TRUE,BA$27="CN")</formula>
    </cfRule>
  </conditionalFormatting>
  <conditionalFormatting sqref="AO31:BV31">
    <cfRule type="expression" dxfId="1" priority="13">
      <formula>AND($AQ$4=TRUE,AO$27="CN")</formula>
    </cfRule>
  </conditionalFormatting>
  <conditionalFormatting sqref="BQ31:BR31">
    <cfRule type="expression" dxfId="1" priority="14">
      <formula>AND($AQ$4=TRUE,BQ$27="CN")</formula>
    </cfRule>
  </conditionalFormatting>
  <conditionalFormatting sqref="BR31">
    <cfRule type="expression" dxfId="0" priority="15">
      <formula>AND($AQ$4=TRUE,BR$10=1)</formula>
    </cfRule>
  </conditionalFormatting>
  <conditionalFormatting sqref="BS31">
    <cfRule type="expression" dxfId="1" priority="16">
      <formula>AND($AQ$5=TRUE,BS$9=1)</formula>
    </cfRule>
  </conditionalFormatting>
  <conditionalFormatting sqref="BS31">
    <cfRule type="expression" dxfId="1" priority="17">
      <formula>AND($AQ$4=TRUE,BS$27="CN")</formula>
    </cfRule>
  </conditionalFormatting>
  <conditionalFormatting sqref="BS31">
    <cfRule type="expression" dxfId="0" priority="18">
      <formula>AND($AQ$4=TRUE,BS$10=1)</formula>
    </cfRule>
  </conditionalFormatting>
  <conditionalFormatting sqref="BW31">
    <cfRule type="expression" dxfId="1" priority="19">
      <formula>AND($AQ$4=TRUE,#REF!="CN")</formula>
    </cfRule>
  </conditionalFormatting>
  <conditionalFormatting sqref="BX31:DE31">
    <cfRule type="expression" dxfId="1" priority="20">
      <formula>AND($AQ$4=TRUE,BX$27="CN")</formula>
    </cfRule>
  </conditionalFormatting>
  <conditionalFormatting sqref="BW31:DE31">
    <cfRule type="expression" dxfId="0" priority="21">
      <formula>AND($AQ$4=TRUE,BW$10=1)</formula>
    </cfRule>
  </conditionalFormatting>
  <dataValidations>
    <dataValidation type="list" allowBlank="1" showErrorMessage="1" sqref="AN18:AN20">
      <formula1>$AT$5:$AT$6</formula1>
    </dataValidation>
    <dataValidation type="list" allowBlank="1" showErrorMessage="1" sqref="AN15">
      <formula1>$AV$3:$AV$4</formula1>
    </dataValidation>
    <dataValidation type="list" allowBlank="1" showErrorMessage="1" sqref="AN17">
      <formula1>$AU$3:$AU$4</formula1>
    </dataValidation>
    <dataValidation type="list" allowBlank="1" showErrorMessage="1" sqref="AN14">
      <formula1>"1,2,3,4,5,6,7,8,9,10,11,12"</formula1>
    </dataValidation>
    <dataValidation type="list" allowBlank="1" showErrorMessage="1" sqref="AN16">
      <formula1>$AT$3:$AT$4</formula1>
    </dataValidation>
  </dataValidations>
  <printOptions horizontalCentered="1"/>
  <pageMargins bottom="0.0" footer="0.0" header="0.0" left="0.0" right="0.0" top="0.0"/>
  <pageSetup orientation="landscape"/>
  <colBreaks count="3" manualBreakCount="3">
    <brk id="32" man="1"/>
    <brk id="33" man="1"/>
    <brk id="75" man="1"/>
  </colBreaks>
  <drawing r:id="rId1"/>
</worksheet>
</file>