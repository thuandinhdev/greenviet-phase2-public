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chấm công" sheetId="1" r:id="rId4"/>
  </sheets>
  <definedNames>
    <definedName localSheetId="0" name="Thang">#REF!</definedName>
    <definedName hidden="1" localSheetId="0" name="_xlnm._FilterDatabase">'Bảng chấm công'!$A$11:$DM$12</definedName>
  </definedNames>
  <calcPr/>
  <extLst>
    <ext uri="GoogleSheetsCustomDataVersion2">
      <go:sheetsCustomData xmlns:go="http://customooxmlschemas.google.com/" r:id="rId5" roundtripDataChecksum="zqas6e/O/4hoNFVd1n0S1RJpOOOtOBz9WNLg2O9Nwq8="/>
    </ext>
  </extLst>
</workbook>
</file>

<file path=xl/sharedStrings.xml><?xml version="1.0" encoding="utf-8"?>
<sst xmlns="http://schemas.openxmlformats.org/spreadsheetml/2006/main" count="128" uniqueCount="76">
  <si>
    <t xml:space="preserve">CÔNG TY TNHH TƯ VẤN CÔNG TRÌNH XANH GREENVIET
</t>
  </si>
  <si>
    <t>Địa chỉ: Số 19, Đường 46, Phường Thảo Điền, TP Thủ Đức, TP.HCM</t>
  </si>
  <si>
    <t>SĐT: 028 3511 9096</t>
  </si>
  <si>
    <t>BẢNG LƯƠNG</t>
  </si>
  <si>
    <t>BẢNG CHẤM CÔNG TRONG GIỜ</t>
  </si>
  <si>
    <t>BẢNG CHẤM CÔNG NGOÀI GIỜ - TĂNG CA</t>
  </si>
  <si>
    <t xml:space="preserve">Số </t>
  </si>
  <si>
    <t xml:space="preserve">Chức </t>
  </si>
  <si>
    <t>Lương Chính Thức theo thỏa thuận</t>
  </si>
  <si>
    <t>TỔNG THU NHẬP NGƯỜI LAO ĐỘNG</t>
  </si>
  <si>
    <t>TỔNG THU NHẬP KHÔNG CHỊU THUẾ TNCN</t>
  </si>
  <si>
    <t>Khấu trừ thuế TNCN NLĐ</t>
  </si>
  <si>
    <t>Lương thực nhận</t>
  </si>
  <si>
    <t>CHI PHÍ DOANH NGHIỆP</t>
  </si>
  <si>
    <t>Ngày 
thường</t>
  </si>
  <si>
    <t>Ngày 
nghỉ</t>
  </si>
  <si>
    <t>TỔNG</t>
  </si>
  <si>
    <t>Ngày 
lễ</t>
  </si>
  <si>
    <t>Tổng</t>
  </si>
  <si>
    <t>Tăng Ca Ngoài giờ</t>
  </si>
  <si>
    <t>T</t>
  </si>
  <si>
    <t xml:space="preserve">Họ và tên </t>
  </si>
  <si>
    <t xml:space="preserve">vụ </t>
  </si>
  <si>
    <t>Lương tháng hiện tại (Full)</t>
  </si>
  <si>
    <t>Lương chi tiết (theo thời gian làm việc)</t>
  </si>
  <si>
    <t>Lương OT</t>
  </si>
  <si>
    <t>Các khoản điều chỉnh giảm - / tăng +</t>
  </si>
  <si>
    <t>Thưởng đột xuất/ Lễ/ tết</t>
  </si>
  <si>
    <t>PHỤ CẤP THEO QUY CHẾ CÔNG TY</t>
  </si>
  <si>
    <t>Tổng Thu nhập</t>
  </si>
  <si>
    <t>Người phụ thuộc</t>
  </si>
  <si>
    <t>Giảm trừ bản thân</t>
  </si>
  <si>
    <t>Ăn/ ĐT/CT/Xăng</t>
  </si>
  <si>
    <t xml:space="preserve">OT </t>
  </si>
  <si>
    <t>BHBB</t>
  </si>
  <si>
    <t>Thu nhập chịu thuế TNCN</t>
  </si>
  <si>
    <t>Thuế TNCN</t>
  </si>
  <si>
    <t>BHBB Thực tế</t>
  </si>
  <si>
    <t>Khấu trừ ĐPCĐ</t>
  </si>
  <si>
    <t>Khác</t>
  </si>
  <si>
    <t>UNC ngày 25/09/2025</t>
  </si>
  <si>
    <t>KPCĐ</t>
  </si>
  <si>
    <t>Ký</t>
  </si>
  <si>
    <t xml:space="preserve">NGÀY </t>
  </si>
  <si>
    <t>NGÀY</t>
  </si>
  <si>
    <t>ngoài</t>
  </si>
  <si>
    <t>Lương cơ bản</t>
  </si>
  <si>
    <t>Hiệu quả công việc</t>
  </si>
  <si>
    <t>Tổng lương</t>
  </si>
  <si>
    <t>Thời gian LV (Ngày)</t>
  </si>
  <si>
    <t>Lương LV</t>
  </si>
  <si>
    <t>Nghỉ phép được hưởng lương</t>
  </si>
  <si>
    <t>Ngày</t>
  </si>
  <si>
    <t>Lương</t>
  </si>
  <si>
    <t>Ăn trưa</t>
  </si>
  <si>
    <t>Điện  Thoại / xăng</t>
  </si>
  <si>
    <t>Đi công trình</t>
  </si>
  <si>
    <t>Số NPT</t>
  </si>
  <si>
    <t>Giảm trừ</t>
  </si>
  <si>
    <t>32%/21.0%</t>
  </si>
  <si>
    <t>nhận</t>
  </si>
  <si>
    <t>CÔNG</t>
  </si>
  <si>
    <t xml:space="preserve"> CÔNG CHUẨN</t>
  </si>
  <si>
    <t xml:space="preserve"> giờ</t>
  </si>
  <si>
    <t>A</t>
  </si>
  <si>
    <t>B</t>
  </si>
  <si>
    <t>C</t>
  </si>
  <si>
    <t>(ngày)</t>
  </si>
  <si>
    <t>(Giờ)</t>
  </si>
  <si>
    <t>Tổng Lương</t>
  </si>
  <si>
    <t>Lương/Ngày</t>
  </si>
  <si>
    <t>NV070</t>
  </si>
  <si>
    <t>Trương Thị Hồng Nhung</t>
  </si>
  <si>
    <t>L</t>
  </si>
  <si>
    <t xml:space="preserve"> /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</si>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</sst>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??_);_(@_)"/>
    <numFmt numFmtId="167" formatCode="0.0%"/>
    <numFmt numFmtId="168" formatCode="dd"/>
  </numFmts>
  <fonts count="17">
    <font>
      <sz val="10.0"/>
      <color rgb="FF000000"/>
      <name val="Arial"/>
      <scheme val="minor"/>
    </font>
    <font>
      <b/>
      <sz val="24.0"/>
      <color theme="1"/>
      <name val="Arial"/>
    </font>
    <font>
      <b/>
      <sz val="11.0"/>
      <color theme="1"/>
      <name val="Arial"/>
    </font>
    <font>
      <b/>
      <sz val="18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8.0"/>
      <color rgb="FFFF0000"/>
      <name val="Arial"/>
    </font>
    <font>
      <b/>
      <sz val="9.0"/>
      <color theme="1"/>
      <name val="Arial"/>
    </font>
    <font/>
    <font>
      <b/>
      <sz val="10.0"/>
      <color theme="1"/>
      <name val="Arial"/>
    </font>
    <font>
      <b/>
      <sz val="9.0"/>
      <color rgb="FFFF0000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FF0000"/>
      <name val="Arial"/>
    </font>
    <font>
      <i/>
      <sz val="9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00CC99"/>
        <bgColor rgb="FF00CC99"/>
      </patternFill>
    </fill>
    <fill>
      <patternFill patternType="solid">
        <fgColor rgb="FFC1F2F7"/>
        <bgColor rgb="FFC1F2F7"/>
      </patternFill>
    </fill>
    <fill>
      <patternFill patternType="solid">
        <fgColor rgb="FF548DD4"/>
        <bgColor rgb="FF548DD4"/>
      </patternFill>
    </fill>
  </fills>
  <borders count="70">
    <border/>
    <border>
      <left/>
      <right/>
      <top/>
      <bottom/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vertical="center"/>
    </xf>
    <xf borderId="1" fillId="2" fontId="4" numFmtId="166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1" fillId="2" fontId="2" numFmtId="0" xfId="0" applyAlignment="1" applyBorder="1" applyFont="1">
      <alignment horizontal="left" vertical="center"/>
    </xf>
    <xf borderId="1" fillId="2" fontId="3" numFmtId="165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2" fontId="4" numFmtId="166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vertical="center"/>
    </xf>
    <xf borderId="1" fillId="2" fontId="5" numFmtId="164" xfId="0" applyAlignment="1" applyBorder="1" applyFont="1" applyNumberFormat="1">
      <alignment horizontal="center" vertical="center"/>
    </xf>
    <xf borderId="1" fillId="3" fontId="6" numFmtId="0" xfId="0" applyAlignment="1" applyBorder="1" applyFill="1" applyFont="1">
      <alignment vertical="center"/>
    </xf>
    <xf borderId="1" fillId="3" fontId="6" numFmtId="164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vertical="center"/>
    </xf>
    <xf borderId="2" fillId="2" fontId="7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5" fillId="2" fontId="7" numFmtId="164" xfId="0" applyAlignment="1" applyBorder="1" applyFont="1" applyNumberFormat="1">
      <alignment horizontal="center" vertical="center"/>
    </xf>
    <xf borderId="6" fillId="2" fontId="7" numFmtId="164" xfId="0" applyAlignment="1" applyBorder="1" applyFont="1" applyNumberFormat="1">
      <alignment horizontal="center" vertical="center"/>
    </xf>
    <xf borderId="7" fillId="2" fontId="7" numFmtId="164" xfId="0" applyAlignment="1" applyBorder="1" applyFont="1" applyNumberFormat="1">
      <alignment horizontal="center" vertical="center"/>
    </xf>
    <xf borderId="8" fillId="4" fontId="7" numFmtId="164" xfId="0" applyAlignment="1" applyBorder="1" applyFill="1" applyFont="1" applyNumberForma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1" fillId="5" fontId="7" numFmtId="164" xfId="0" applyAlignment="1" applyBorder="1" applyFill="1" applyFont="1" applyNumberFormat="1">
      <alignment horizontal="center" vertical="center"/>
    </xf>
    <xf borderId="12" fillId="0" fontId="8" numFmtId="0" xfId="0" applyBorder="1" applyFont="1"/>
    <xf borderId="13" fillId="0" fontId="8" numFmtId="0" xfId="0" applyBorder="1" applyFont="1"/>
    <xf borderId="11" fillId="6" fontId="7" numFmtId="164" xfId="0" applyAlignment="1" applyBorder="1" applyFill="1" applyFont="1" applyNumberFormat="1">
      <alignment horizontal="center" shrinkToFit="0" vertical="center" wrapText="1"/>
    </xf>
    <xf borderId="11" fillId="7" fontId="7" numFmtId="164" xfId="0" applyAlignment="1" applyBorder="1" applyFill="1" applyFont="1" applyNumberFormat="1">
      <alignment horizontal="center" shrinkToFit="0" vertical="center" wrapText="1"/>
    </xf>
    <xf borderId="11" fillId="2" fontId="9" numFmtId="164" xfId="0" applyAlignment="1" applyBorder="1" applyFont="1" applyNumberFormat="1">
      <alignment horizontal="center" vertical="center"/>
    </xf>
    <xf borderId="14" fillId="2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4" fillId="0" fontId="7" numFmtId="164" xfId="0" applyAlignment="1" applyBorder="1" applyFont="1" applyNumberFormat="1">
      <alignment horizontal="center" shrinkToFit="0" vertical="center" wrapText="1"/>
    </xf>
    <xf borderId="4" fillId="0" fontId="7" numFmtId="166" xfId="0" applyAlignment="1" applyBorder="1" applyFont="1" applyNumberFormat="1">
      <alignment horizontal="center" shrinkToFit="0" vertical="center" wrapText="1"/>
    </xf>
    <xf borderId="16" fillId="0" fontId="7" numFmtId="164" xfId="0" applyAlignment="1" applyBorder="1" applyFont="1" applyNumberFormat="1">
      <alignment horizontal="center" vertical="center"/>
    </xf>
    <xf borderId="17" fillId="0" fontId="7" numFmtId="164" xfId="0" applyAlignment="1" applyBorder="1" applyFont="1" applyNumberFormat="1">
      <alignment vertical="center"/>
    </xf>
    <xf borderId="18" fillId="0" fontId="7" numFmtId="0" xfId="0" applyAlignment="1" applyBorder="1" applyFont="1">
      <alignment horizontal="center" vertical="center"/>
    </xf>
    <xf borderId="4" fillId="0" fontId="7" numFmtId="165" xfId="0" applyAlignment="1" applyBorder="1" applyFont="1" applyNumberFormat="1">
      <alignment horizontal="center" shrinkToFit="0" vertical="center" wrapText="1"/>
    </xf>
    <xf borderId="4" fillId="2" fontId="7" numFmtId="166" xfId="0" applyAlignment="1" applyBorder="1" applyFont="1" applyNumberFormat="1">
      <alignment horizontal="center" shrinkToFit="0" vertical="center" wrapText="1"/>
    </xf>
    <xf borderId="16" fillId="0" fontId="7" numFmtId="165" xfId="0" applyAlignment="1" applyBorder="1" applyFont="1" applyNumberFormat="1">
      <alignment horizontal="center" vertical="center"/>
    </xf>
    <xf borderId="19" fillId="0" fontId="7" numFmtId="164" xfId="0" applyAlignment="1" applyBorder="1" applyFont="1" applyNumberFormat="1">
      <alignment horizontal="center" vertical="center"/>
    </xf>
    <xf borderId="20" fillId="0" fontId="8" numFmtId="0" xfId="0" applyBorder="1" applyFont="1"/>
    <xf borderId="1" fillId="2" fontId="7" numFmtId="0" xfId="0" applyAlignment="1" applyBorder="1" applyFont="1">
      <alignment horizontal="center" vertical="center"/>
    </xf>
    <xf borderId="21" fillId="2" fontId="7" numFmtId="0" xfId="0" applyAlignment="1" applyBorder="1" applyFont="1">
      <alignment horizontal="center" vertical="center"/>
    </xf>
    <xf borderId="22" fillId="2" fontId="7" numFmtId="0" xfId="0" applyAlignment="1" applyBorder="1" applyFont="1">
      <alignment horizontal="center" vertical="center"/>
    </xf>
    <xf borderId="23" fillId="0" fontId="8" numFmtId="0" xfId="0" applyBorder="1" applyFont="1"/>
    <xf borderId="24" fillId="2" fontId="7" numFmtId="164" xfId="0" applyAlignment="1" applyBorder="1" applyFont="1" applyNumberFormat="1">
      <alignment horizontal="center" vertical="center"/>
    </xf>
    <xf borderId="25" fillId="0" fontId="8" numFmtId="0" xfId="0" applyBorder="1" applyFont="1"/>
    <xf borderId="26" fillId="0" fontId="8" numFmtId="0" xfId="0" applyBorder="1" applyFont="1"/>
    <xf borderId="24" fillId="4" fontId="7" numFmtId="165" xfId="0" applyAlignment="1" applyBorder="1" applyFont="1" applyNumberFormat="1">
      <alignment horizontal="center" shrinkToFit="0" vertical="center" wrapText="1"/>
    </xf>
    <xf borderId="27" fillId="4" fontId="7" numFmtId="164" xfId="0" applyAlignment="1" applyBorder="1" applyFont="1" applyNumberFormat="1">
      <alignment horizontal="center" vertical="center"/>
    </xf>
    <xf borderId="28" fillId="0" fontId="8" numFmtId="0" xfId="0" applyBorder="1" applyFont="1"/>
    <xf borderId="29" fillId="4" fontId="7" numFmtId="164" xfId="0" applyAlignment="1" applyBorder="1" applyFont="1" applyNumberFormat="1">
      <alignment horizontal="center" shrinkToFit="0" vertical="center" wrapText="1"/>
    </xf>
    <xf borderId="24" fillId="4" fontId="7" numFmtId="164" xfId="0" applyAlignment="1" applyBorder="1" applyFont="1" applyNumberFormat="1">
      <alignment horizontal="center" shrinkToFit="0" vertical="center" wrapText="1"/>
    </xf>
    <xf borderId="30" fillId="5" fontId="7" numFmtId="164" xfId="0" applyAlignment="1" applyBorder="1" applyFont="1" applyNumberFormat="1">
      <alignment horizontal="center" vertical="center"/>
    </xf>
    <xf borderId="31" fillId="0" fontId="8" numFmtId="0" xfId="0" applyBorder="1" applyFont="1"/>
    <xf borderId="32" fillId="5" fontId="7" numFmtId="164" xfId="0" applyAlignment="1" applyBorder="1" applyFont="1" applyNumberFormat="1">
      <alignment horizontal="center" shrinkToFit="0" vertical="center" wrapText="1"/>
    </xf>
    <xf borderId="33" fillId="5" fontId="7" numFmtId="164" xfId="0" applyAlignment="1" applyBorder="1" applyFont="1" applyNumberFormat="1">
      <alignment horizontal="center" shrinkToFit="0" vertical="center" wrapText="1"/>
    </xf>
    <xf borderId="34" fillId="5" fontId="7" numFmtId="164" xfId="0" applyAlignment="1" applyBorder="1" applyFont="1" applyNumberFormat="1">
      <alignment horizontal="center" vertical="center"/>
    </xf>
    <xf borderId="32" fillId="6" fontId="7" numFmtId="164" xfId="0" applyAlignment="1" applyBorder="1" applyFont="1" applyNumberFormat="1">
      <alignment horizontal="center" shrinkToFit="0" vertical="center" wrapText="1"/>
    </xf>
    <xf borderId="22" fillId="7" fontId="7" numFmtId="164" xfId="0" applyAlignment="1" applyBorder="1" applyFont="1" applyNumberFormat="1">
      <alignment horizontal="center" shrinkToFit="0" vertical="center" wrapText="1"/>
    </xf>
    <xf borderId="32" fillId="7" fontId="7" numFmtId="164" xfId="0" applyAlignment="1" applyBorder="1" applyFont="1" applyNumberFormat="1">
      <alignment horizontal="center" shrinkToFit="0" vertical="center" wrapText="1"/>
    </xf>
    <xf borderId="29" fillId="7" fontId="7" numFmtId="164" xfId="0" applyAlignment="1" applyBorder="1" applyFont="1" applyNumberFormat="1">
      <alignment horizontal="center" shrinkToFit="0" vertical="center" wrapText="1"/>
    </xf>
    <xf borderId="35" fillId="2" fontId="7" numFmtId="164" xfId="0" applyAlignment="1" applyBorder="1" applyFont="1" applyNumberFormat="1">
      <alignment horizontal="center" vertical="center"/>
    </xf>
    <xf borderId="36" fillId="2" fontId="7" numFmtId="0" xfId="0" applyAlignment="1" applyBorder="1" applyFont="1">
      <alignment horizontal="center" vertical="center"/>
    </xf>
    <xf borderId="37" fillId="2" fontId="7" numFmtId="0" xfId="0" applyAlignment="1" applyBorder="1" applyFont="1">
      <alignment horizontal="center" vertical="center"/>
    </xf>
    <xf borderId="35" fillId="2" fontId="7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39" fillId="0" fontId="7" numFmtId="164" xfId="0" applyAlignment="1" applyBorder="1" applyFont="1" applyNumberFormat="1">
      <alignment horizontal="center" vertical="center"/>
    </xf>
    <xf borderId="40" fillId="0" fontId="7" numFmtId="164" xfId="0" applyAlignment="1" applyBorder="1" applyFont="1" applyNumberFormat="1">
      <alignment horizontal="center" vertical="center"/>
    </xf>
    <xf borderId="41" fillId="0" fontId="7" numFmtId="0" xfId="0" applyAlignment="1" applyBorder="1" applyFont="1">
      <alignment horizontal="center" vertical="center"/>
    </xf>
    <xf borderId="39" fillId="0" fontId="7" numFmtId="165" xfId="0" applyAlignment="1" applyBorder="1" applyFont="1" applyNumberFormat="1">
      <alignment horizontal="center" vertical="center"/>
    </xf>
    <xf borderId="42" fillId="0" fontId="8" numFmtId="0" xfId="0" applyBorder="1" applyFont="1"/>
    <xf borderId="43" fillId="0" fontId="8" numFmtId="0" xfId="0" applyBorder="1" applyFont="1"/>
    <xf borderId="44" fillId="2" fontId="7" numFmtId="0" xfId="0" applyAlignment="1" applyBorder="1" applyFont="1">
      <alignment horizontal="center" vertical="center"/>
    </xf>
    <xf borderId="45" fillId="2" fontId="7" numFmtId="0" xfId="0" applyAlignment="1" applyBorder="1" applyFont="1">
      <alignment horizontal="center" vertical="center"/>
    </xf>
    <xf borderId="46" fillId="0" fontId="8" numFmtId="0" xfId="0" applyBorder="1" applyFont="1"/>
    <xf borderId="23" fillId="0" fontId="7" numFmtId="164" xfId="0" applyAlignment="1" applyBorder="1" applyFont="1" applyNumberFormat="1">
      <alignment horizontal="center" shrinkToFit="0" vertical="center" wrapText="1"/>
    </xf>
    <xf borderId="46" fillId="0" fontId="7" numFmtId="164" xfId="0" applyAlignment="1" applyBorder="1" applyFont="1" applyNumberFormat="1">
      <alignment horizontal="center" shrinkToFit="0" vertical="center" wrapText="1"/>
    </xf>
    <xf borderId="47" fillId="2" fontId="7" numFmtId="164" xfId="0" applyAlignment="1" applyBorder="1" applyFont="1" applyNumberFormat="1">
      <alignment horizontal="center" vertical="center"/>
    </xf>
    <xf borderId="45" fillId="4" fontId="7" numFmtId="165" xfId="0" applyAlignment="1" applyBorder="1" applyFont="1" applyNumberFormat="1">
      <alignment horizontal="center" shrinkToFit="0" vertical="center" wrapText="1"/>
    </xf>
    <xf borderId="45" fillId="4" fontId="7" numFmtId="164" xfId="0" applyAlignment="1" applyBorder="1" applyFont="1" applyNumberFormat="1">
      <alignment horizontal="center" shrinkToFit="0" vertical="center" wrapText="1"/>
    </xf>
    <xf borderId="45" fillId="4" fontId="7" numFmtId="164" xfId="0" applyAlignment="1" applyBorder="1" applyFont="1" applyNumberFormat="1">
      <alignment horizontal="center" vertical="center"/>
    </xf>
    <xf borderId="48" fillId="5" fontId="7" numFmtId="164" xfId="0" applyAlignment="1" applyBorder="1" applyFont="1" applyNumberFormat="1">
      <alignment horizontal="center" vertical="center"/>
    </xf>
    <xf borderId="48" fillId="5" fontId="7" numFmtId="164" xfId="0" applyAlignment="1" applyBorder="1" applyFont="1" applyNumberFormat="1">
      <alignment horizontal="center" shrinkToFit="0" vertical="center" wrapText="1"/>
    </xf>
    <xf borderId="47" fillId="5" fontId="10" numFmtId="167" xfId="0" applyAlignment="1" applyBorder="1" applyFont="1" applyNumberFormat="1">
      <alignment horizontal="center" shrinkToFit="0" vertical="center" wrapText="1"/>
    </xf>
    <xf borderId="49" fillId="0" fontId="8" numFmtId="0" xfId="0" applyBorder="1" applyFont="1"/>
    <xf borderId="45" fillId="7" fontId="10" numFmtId="167" xfId="0" applyAlignment="1" applyBorder="1" applyFont="1" applyNumberFormat="1">
      <alignment horizontal="center" shrinkToFit="0" vertical="center" wrapText="1"/>
    </xf>
    <xf borderId="47" fillId="2" fontId="10" numFmtId="167" xfId="0" applyAlignment="1" applyBorder="1" applyFont="1" applyNumberFormat="1">
      <alignment horizontal="center" vertical="center"/>
    </xf>
    <xf borderId="47" fillId="2" fontId="7" numFmtId="164" xfId="0" applyAlignment="1" applyBorder="1" applyFont="1" applyNumberFormat="1">
      <alignment horizontal="center" shrinkToFit="0" vertical="center" wrapText="1"/>
    </xf>
    <xf borderId="50" fillId="2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33" fillId="2" fontId="7" numFmtId="0" xfId="0" applyAlignment="1" applyBorder="1" applyFont="1">
      <alignment horizontal="center" vertical="center"/>
    </xf>
    <xf borderId="23" fillId="0" fontId="7" numFmtId="164" xfId="0" applyAlignment="1" applyBorder="1" applyFont="1" applyNumberFormat="1">
      <alignment horizontal="center" vertical="center"/>
    </xf>
    <xf borderId="23" fillId="0" fontId="7" numFmtId="166" xfId="0" applyAlignment="1" applyBorder="1" applyFont="1" applyNumberFormat="1">
      <alignment horizontal="center" vertical="center"/>
    </xf>
    <xf borderId="40" fillId="0" fontId="7" numFmtId="164" xfId="0" applyAlignment="1" applyBorder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vertical="center"/>
    </xf>
    <xf borderId="23" fillId="0" fontId="7" numFmtId="165" xfId="0" applyAlignment="1" applyBorder="1" applyFont="1" applyNumberFormat="1">
      <alignment horizontal="center" vertical="center"/>
    </xf>
    <xf borderId="35" fillId="2" fontId="7" numFmtId="166" xfId="0" applyAlignment="1" applyBorder="1" applyFont="1" applyNumberFormat="1">
      <alignment horizontal="center" vertical="center"/>
    </xf>
    <xf borderId="43" fillId="0" fontId="7" numFmtId="165" xfId="0" applyAlignment="1" applyBorder="1" applyFont="1" applyNumberFormat="1">
      <alignment horizontal="center" vertical="center"/>
    </xf>
    <xf borderId="51" fillId="0" fontId="8" numFmtId="0" xfId="0" applyBorder="1" applyFont="1"/>
    <xf borderId="52" fillId="0" fontId="8" numFmtId="0" xfId="0" applyBorder="1" applyFont="1"/>
    <xf borderId="53" fillId="2" fontId="7" numFmtId="1" xfId="0" applyAlignment="1" applyBorder="1" applyFont="1" applyNumberFormat="1">
      <alignment horizontal="center" vertical="top"/>
    </xf>
    <xf borderId="54" fillId="2" fontId="7" numFmtId="1" xfId="0" applyAlignment="1" applyBorder="1" applyFont="1" applyNumberFormat="1">
      <alignment horizontal="center" vertical="top"/>
    </xf>
    <xf borderId="55" fillId="2" fontId="7" numFmtId="1" xfId="0" applyAlignment="1" applyBorder="1" applyFont="1" applyNumberFormat="1">
      <alignment horizontal="center" vertical="top"/>
    </xf>
    <xf borderId="55" fillId="2" fontId="7" numFmtId="164" xfId="0" applyAlignment="1" applyBorder="1" applyFont="1" applyNumberFormat="1">
      <alignment horizontal="center" vertical="top"/>
    </xf>
    <xf borderId="46" fillId="0" fontId="7" numFmtId="0" xfId="0" applyAlignment="1" applyBorder="1" applyFont="1">
      <alignment horizontal="center" readingOrder="0" vertical="top"/>
    </xf>
    <xf borderId="46" fillId="0" fontId="7" numFmtId="168" xfId="0" applyAlignment="1" applyBorder="1" applyFont="1" applyNumberFormat="1">
      <alignment horizontal="center" vertical="top"/>
    </xf>
    <xf borderId="47" fillId="2" fontId="7" numFmtId="168" xfId="0" applyAlignment="1" applyBorder="1" applyFont="1" applyNumberFormat="1">
      <alignment horizontal="center" vertical="top"/>
    </xf>
    <xf borderId="46" fillId="0" fontId="7" numFmtId="164" xfId="0" applyAlignment="1" applyBorder="1" applyFont="1" applyNumberFormat="1">
      <alignment horizontal="center" vertical="top"/>
    </xf>
    <xf borderId="38" fillId="0" fontId="7" numFmtId="166" xfId="0" applyAlignment="1" applyBorder="1" applyFont="1" applyNumberFormat="1">
      <alignment horizontal="center" vertical="top"/>
    </xf>
    <xf borderId="56" fillId="0" fontId="7" numFmtId="164" xfId="0" applyAlignment="1" applyBorder="1" applyFont="1" applyNumberFormat="1">
      <alignment horizontal="center" vertical="top"/>
    </xf>
    <xf borderId="57" fillId="0" fontId="7" numFmtId="164" xfId="0" applyAlignment="1" applyBorder="1" applyFont="1" applyNumberFormat="1">
      <alignment horizontal="center" vertical="top"/>
    </xf>
    <xf borderId="58" fillId="0" fontId="11" numFmtId="165" xfId="0" applyAlignment="1" applyBorder="1" applyFont="1" applyNumberFormat="1">
      <alignment horizontal="center" vertical="top"/>
    </xf>
    <xf borderId="47" fillId="2" fontId="11" numFmtId="166" xfId="0" applyAlignment="1" applyBorder="1" applyFont="1" applyNumberFormat="1">
      <alignment horizontal="center" vertical="top"/>
    </xf>
    <xf borderId="56" fillId="0" fontId="11" numFmtId="165" xfId="0" applyAlignment="1" applyBorder="1" applyFont="1" applyNumberFormat="1">
      <alignment horizontal="center" vertical="top"/>
    </xf>
    <xf borderId="59" fillId="0" fontId="11" numFmtId="165" xfId="0" applyAlignment="1" applyBorder="1" applyFont="1" applyNumberFormat="1">
      <alignment horizontal="center" vertical="top"/>
    </xf>
    <xf borderId="44" fillId="0" fontId="5" numFmtId="164" xfId="0" applyAlignment="1" applyBorder="1" applyFont="1" applyNumberFormat="1">
      <alignment horizontal="center" vertical="top"/>
    </xf>
    <xf borderId="60" fillId="0" fontId="5" numFmtId="37" xfId="0" applyAlignment="1" applyBorder="1" applyFont="1" applyNumberFormat="1">
      <alignment horizontal="center" vertical="top"/>
    </xf>
    <xf borderId="1" fillId="2" fontId="7" numFmtId="0" xfId="0" applyAlignment="1" applyBorder="1" applyFont="1">
      <alignment horizontal="center" vertical="top"/>
    </xf>
    <xf borderId="61" fillId="0" fontId="11" numFmtId="164" xfId="0" applyAlignment="1" applyBorder="1" applyFont="1" applyNumberFormat="1">
      <alignment horizontal="right"/>
    </xf>
    <xf borderId="62" fillId="0" fontId="11" numFmtId="164" xfId="0" applyAlignment="1" applyBorder="1" applyFont="1" applyNumberFormat="1">
      <alignment horizontal="center"/>
    </xf>
    <xf borderId="63" fillId="0" fontId="11" numFmtId="164" xfId="0" applyBorder="1" applyFont="1" applyNumberFormat="1"/>
    <xf borderId="63" fillId="0" fontId="11" numFmtId="164" xfId="0" applyAlignment="1" applyBorder="1" applyFont="1" applyNumberFormat="1">
      <alignment horizontal="center"/>
    </xf>
    <xf borderId="63" fillId="0" fontId="11" numFmtId="164" xfId="0" applyAlignment="1" applyBorder="1" applyFont="1" applyNumberFormat="1">
      <alignment horizontal="right"/>
    </xf>
    <xf borderId="63" fillId="0" fontId="11" numFmtId="165" xfId="0" applyAlignment="1" applyBorder="1" applyFont="1" applyNumberFormat="1">
      <alignment horizontal="center"/>
    </xf>
    <xf borderId="63" fillId="0" fontId="11" numFmtId="166" xfId="0" applyAlignment="1" applyBorder="1" applyFont="1" applyNumberFormat="1">
      <alignment horizontal="right"/>
    </xf>
    <xf borderId="63" fillId="0" fontId="12" numFmtId="164" xfId="0" applyBorder="1" applyFont="1" applyNumberFormat="1"/>
    <xf borderId="63" fillId="0" fontId="13" numFmtId="164" xfId="0" applyAlignment="1" applyBorder="1" applyFont="1" applyNumberFormat="1">
      <alignment horizontal="right"/>
    </xf>
    <xf borderId="63" fillId="0" fontId="10" numFmtId="164" xfId="0" applyAlignment="1" applyBorder="1" applyFont="1" applyNumberFormat="1">
      <alignment horizontal="right"/>
    </xf>
    <xf borderId="63" fillId="0" fontId="14" numFmtId="164" xfId="0" applyAlignment="1" applyBorder="1" applyFont="1" applyNumberFormat="1">
      <alignment horizontal="right"/>
    </xf>
    <xf borderId="39" fillId="0" fontId="12" numFmtId="3" xfId="0" applyBorder="1" applyFont="1" applyNumberFormat="1"/>
    <xf borderId="61" fillId="0" fontId="11" numFmtId="164" xfId="0" applyAlignment="1" applyBorder="1" applyFont="1" applyNumberFormat="1">
      <alignment horizontal="center"/>
    </xf>
    <xf borderId="64" fillId="0" fontId="11" numFmtId="164" xfId="0" applyBorder="1" applyFont="1" applyNumberFormat="1"/>
    <xf borderId="65" fillId="0" fontId="11" numFmtId="164" xfId="0" applyAlignment="1" applyBorder="1" applyFont="1" applyNumberFormat="1">
      <alignment horizontal="center"/>
    </xf>
    <xf borderId="64" fillId="0" fontId="15" numFmtId="0" xfId="0" applyAlignment="1" applyBorder="1" applyFont="1">
      <alignment horizontal="center"/>
    </xf>
    <xf borderId="64" fillId="5" fontId="16" numFmtId="0" xfId="0" applyAlignment="1" applyBorder="1" applyFont="1">
      <alignment horizontal="center"/>
    </xf>
    <xf borderId="64" fillId="5" fontId="15" numFmtId="0" xfId="0" applyAlignment="1" applyBorder="1" applyFont="1">
      <alignment horizontal="center"/>
    </xf>
    <xf borderId="64" fillId="0" fontId="12" numFmtId="0" xfId="0" applyBorder="1" applyFont="1"/>
    <xf borderId="64" fillId="5" fontId="12" numFmtId="0" xfId="0" applyBorder="1" applyFont="1"/>
    <xf borderId="64" fillId="0" fontId="16" numFmtId="0" xfId="0" applyAlignment="1" applyBorder="1" applyFont="1">
      <alignment horizontal="center"/>
    </xf>
    <xf borderId="63" fillId="0" fontId="7" numFmtId="165" xfId="0" applyAlignment="1" applyBorder="1" applyFont="1" applyNumberFormat="1">
      <alignment horizontal="right"/>
    </xf>
    <xf borderId="63" fillId="8" fontId="12" numFmtId="165" xfId="0" applyBorder="1" applyFill="1" applyFont="1" applyNumberFormat="1"/>
    <xf borderId="65" fillId="0" fontId="7" numFmtId="165" xfId="0" applyAlignment="1" applyBorder="1" applyFont="1" applyNumberFormat="1">
      <alignment horizontal="center"/>
    </xf>
    <xf borderId="66" fillId="0" fontId="7" numFmtId="165" xfId="0" applyAlignment="1" applyBorder="1" applyFont="1" applyNumberFormat="1">
      <alignment horizontal="center"/>
    </xf>
    <xf borderId="67" fillId="0" fontId="11" numFmtId="164" xfId="0" applyAlignment="1" applyBorder="1" applyFont="1" applyNumberFormat="1">
      <alignment horizontal="center"/>
    </xf>
    <xf borderId="68" fillId="0" fontId="11" numFmtId="164" xfId="0" applyBorder="1" applyFont="1" applyNumberFormat="1"/>
    <xf borderId="63" fillId="0" fontId="7" numFmtId="165" xfId="0" applyAlignment="1" applyBorder="1" applyFont="1" applyNumberFormat="1">
      <alignment horizontal="center"/>
    </xf>
    <xf borderId="65" fillId="0" fontId="7" numFmtId="164" xfId="0" applyAlignment="1" applyBorder="1" applyFont="1" applyNumberFormat="1">
      <alignment horizontal="center"/>
    </xf>
    <xf borderId="69" fillId="0" fontId="7" numFmtId="164" xfId="0" applyAlignment="1" applyBorder="1" applyFont="1" applyNumberFormat="1">
      <alignment horizontal="center"/>
    </xf>
    <xf borderId="0" fillId="0" fontId="12" numFmtId="164" xfId="0" applyFont="1" applyNumberFormat="1"/>
    <xf borderId="1" fillId="2" fontId="6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200025</xdr:rowOff>
    </xdr:from>
    <xdr:ext cx="1076325" cy="781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9525</xdr:colOff>
      <xdr:row>2</xdr:row>
      <xdr:rowOff>200025</xdr:rowOff>
    </xdr:from>
    <xdr:ext cx="1076325" cy="781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9525</xdr:colOff>
      <xdr:row>2</xdr:row>
      <xdr:rowOff>200025</xdr:rowOff>
    </xdr:from>
    <xdr:ext cx="1076325" cy="7810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0"/>
  <cols>
    <col customWidth="1" min="1" max="1" width="4.0"/>
    <col customWidth="1" min="2" max="2" width="6.88"/>
    <col customWidth="1" min="3" max="3" width="15.63"/>
    <col customWidth="1" min="4" max="4" width="8.38"/>
    <col customWidth="1" min="5" max="5" width="12.88"/>
    <col customWidth="1" min="6" max="6" width="12.25"/>
    <col customWidth="1" min="7" max="7" width="12.13"/>
    <col customWidth="1" min="8" max="8" width="16.38"/>
    <col customWidth="1" min="9" max="9" width="6.88"/>
    <col customWidth="1" min="10" max="10" width="13.0"/>
    <col customWidth="1" min="11" max="11" width="12.25"/>
    <col customWidth="1" min="12" max="12" width="7.88"/>
    <col customWidth="1" min="13" max="13" width="9.25"/>
    <col customWidth="1" min="14" max="14" width="7.88"/>
    <col customWidth="1" min="15" max="15" width="6.5"/>
    <col customWidth="1" min="16" max="18" width="10.0"/>
    <col customWidth="1" min="19" max="19" width="11.25"/>
    <col customWidth="1" min="20" max="20" width="7.5"/>
    <col customWidth="1" min="21" max="21" width="12.25"/>
    <col customWidth="1" min="22" max="22" width="12.75"/>
    <col customWidth="1" min="23" max="23" width="12.0"/>
    <col customWidth="1" min="24" max="24" width="10.63"/>
    <col customWidth="1" min="25" max="25" width="12.0"/>
    <col customWidth="1" min="26" max="26" width="15.0"/>
    <col customWidth="1" min="27" max="27" width="13.13"/>
    <col customWidth="1" min="28" max="28" width="12.5"/>
    <col customWidth="1" min="29" max="29" width="10.5"/>
    <col customWidth="1" min="30" max="30" width="11.13"/>
    <col customWidth="1" min="31" max="31" width="10.38"/>
    <col customWidth="1" min="32" max="32" width="10.25"/>
    <col customWidth="1" min="33" max="33" width="12.75"/>
    <col customWidth="1" min="34" max="34" width="14.5"/>
    <col customWidth="1" min="35" max="35" width="11.25"/>
    <col customWidth="1" min="36" max="36" width="13.38"/>
    <col customWidth="1" min="37" max="37" width="6.5"/>
    <col customWidth="1" min="38" max="38" width="4.13"/>
    <col customWidth="1" min="39" max="39" width="16.88"/>
    <col customWidth="1" min="40" max="40" width="10.63"/>
    <col customWidth="1" min="41" max="41" width="4.0"/>
    <col customWidth="1" min="42" max="55" width="3.88"/>
    <col customWidth="1" min="56" max="56" width="4.25"/>
    <col customWidth="1" min="57" max="66" width="3.88"/>
    <col customWidth="1" min="67" max="67" width="4.13"/>
    <col customWidth="1" min="68" max="68" width="3.88"/>
    <col customWidth="1" min="69" max="71" width="4.25"/>
    <col customWidth="1" min="72" max="72" width="8.0"/>
    <col customWidth="1" min="73" max="73" width="8.88"/>
    <col customWidth="1" min="74" max="74" width="8.63"/>
    <col customWidth="1" min="75" max="75" width="7.25"/>
    <col customWidth="1" min="76" max="76" width="4.38"/>
    <col customWidth="1" min="77" max="77" width="20.13"/>
    <col customWidth="1" min="78" max="78" width="10.5"/>
    <col customWidth="1" min="79" max="81" width="3.88"/>
    <col customWidth="1" min="82" max="84" width="3.75"/>
    <col customWidth="1" min="85" max="85" width="4.0"/>
    <col customWidth="1" min="86" max="87" width="3.75"/>
    <col customWidth="1" min="88" max="88" width="3.88"/>
    <col customWidth="1" min="89" max="94" width="3.75"/>
    <col customWidth="1" min="95" max="95" width="4.0"/>
    <col customWidth="1" min="96" max="98" width="3.75"/>
    <col customWidth="1" min="99" max="100" width="3.63"/>
    <col customWidth="1" min="101" max="101" width="3.75"/>
    <col customWidth="1" min="102" max="105" width="4.38"/>
    <col customWidth="1" min="106" max="106" width="3.75"/>
    <col customWidth="1" min="107" max="109" width="4.13"/>
    <col customWidth="1" min="110" max="110" width="6.38"/>
    <col customWidth="1" min="111" max="111" width="5.75"/>
    <col customWidth="1" min="112" max="112" width="5.0"/>
    <col customWidth="1" min="113" max="113" width="6.5"/>
    <col customWidth="1" min="114" max="114" width="6.63"/>
    <col customWidth="1" min="115" max="115" width="15.38"/>
    <col customWidth="1" min="116" max="116" width="14.5"/>
    <col customWidth="1" min="117" max="117" width="9.25"/>
  </cols>
  <sheetData>
    <row r="1">
      <c r="A1" s="1"/>
      <c r="B1" s="2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" t="s">
        <v>0</v>
      </c>
      <c r="AN1" s="2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4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3"/>
      <c r="BX1" s="2" t="str">
        <f>+C1</f>
        <v>CÔNG TY TNHH TƯ VẤN CÔNG TRÌNH XANH GREENVIET
</v>
      </c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1"/>
      <c r="CL1" s="3"/>
      <c r="CM1" s="3"/>
      <c r="CN1" s="3"/>
      <c r="CO1" s="3"/>
      <c r="CP1" s="5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</row>
    <row r="2">
      <c r="A2" s="5"/>
      <c r="B2" s="2"/>
      <c r="C2" s="2" t="s">
        <v>1</v>
      </c>
      <c r="D2" s="6"/>
      <c r="E2" s="6"/>
      <c r="F2" s="7"/>
      <c r="G2" s="7"/>
      <c r="H2" s="7"/>
      <c r="I2" s="8"/>
      <c r="J2" s="9"/>
      <c r="K2" s="7"/>
      <c r="L2" s="10"/>
      <c r="M2" s="9"/>
      <c r="N2" s="9"/>
      <c r="O2" s="9"/>
      <c r="P2" s="9"/>
      <c r="Q2" s="9"/>
      <c r="R2" s="9"/>
      <c r="S2" s="9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6"/>
      <c r="AL2" s="11"/>
      <c r="AM2" s="2" t="s">
        <v>1</v>
      </c>
      <c r="AN2" s="6"/>
      <c r="AO2" s="12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11"/>
      <c r="BY2" s="2" t="str">
        <f>+C2</f>
        <v>Địa chỉ: Số 19, Đường 46, Phường Thảo Điền, TP Thủ Đức, TP.HCM</v>
      </c>
      <c r="BZ2" s="11"/>
      <c r="CA2" s="7"/>
      <c r="CB2" s="7"/>
      <c r="CC2" s="7"/>
      <c r="CD2" s="7"/>
      <c r="CE2" s="7"/>
      <c r="CF2" s="7"/>
      <c r="CG2" s="8"/>
      <c r="CH2" s="7"/>
      <c r="CI2" s="7"/>
      <c r="CJ2" s="7"/>
      <c r="CK2" s="7"/>
      <c r="CL2" s="7"/>
      <c r="CM2" s="7"/>
      <c r="CN2" s="7"/>
      <c r="CO2" s="7"/>
      <c r="CP2" s="7"/>
      <c r="CQ2" s="13"/>
      <c r="CR2" s="7"/>
      <c r="CS2" s="7"/>
      <c r="CT2" s="7"/>
      <c r="CU2" s="14"/>
      <c r="CV2" s="7"/>
      <c r="CW2" s="7"/>
      <c r="CX2" s="7"/>
      <c r="CY2" s="7"/>
      <c r="CZ2" s="7"/>
      <c r="DA2" s="7"/>
      <c r="DB2" s="7"/>
      <c r="DC2" s="7"/>
      <c r="DD2" s="7"/>
      <c r="DE2" s="7"/>
      <c r="DF2" s="8"/>
      <c r="DG2" s="8"/>
      <c r="DH2" s="15"/>
      <c r="DI2" s="8"/>
      <c r="DJ2" s="8"/>
      <c r="DK2" s="11"/>
      <c r="DL2" s="11"/>
      <c r="DM2" s="11"/>
    </row>
    <row r="3">
      <c r="A3" s="3"/>
      <c r="B3" s="2"/>
      <c r="C3" s="2" t="s">
        <v>2</v>
      </c>
      <c r="D3" s="11"/>
      <c r="E3" s="11"/>
      <c r="F3" s="9"/>
      <c r="G3" s="9"/>
      <c r="H3" s="9"/>
      <c r="I3" s="16"/>
      <c r="J3" s="9"/>
      <c r="K3" s="9"/>
      <c r="L3" s="10"/>
      <c r="M3" s="9"/>
      <c r="N3" s="9"/>
      <c r="O3" s="4" t="s">
        <v>3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1"/>
      <c r="AL3" s="11"/>
      <c r="AM3" s="2"/>
      <c r="AN3" s="6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4" t="s">
        <v>4</v>
      </c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17"/>
      <c r="BV3" s="5"/>
      <c r="BW3" s="5"/>
      <c r="BX3" s="11"/>
      <c r="BY3" s="2"/>
      <c r="BZ3" s="11"/>
      <c r="CA3" s="7"/>
      <c r="CB3" s="7"/>
      <c r="CC3" s="7"/>
      <c r="CD3" s="7"/>
      <c r="CE3" s="7"/>
      <c r="CF3" s="7"/>
      <c r="CG3" s="8"/>
      <c r="CH3" s="7"/>
      <c r="CI3" s="7"/>
      <c r="CJ3" s="7"/>
      <c r="CK3" s="7"/>
      <c r="CL3" s="7"/>
      <c r="CM3" s="7"/>
      <c r="CN3" s="7"/>
      <c r="CO3" s="7"/>
      <c r="CP3" s="7"/>
      <c r="CQ3" s="5" t="s">
        <v>5</v>
      </c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8"/>
      <c r="DG3" s="8"/>
      <c r="DH3" s="15"/>
      <c r="DI3" s="8"/>
      <c r="DJ3" s="8"/>
      <c r="DK3" s="11"/>
      <c r="DL3" s="11"/>
      <c r="DM3" s="11"/>
    </row>
    <row r="4">
      <c r="A4" s="3"/>
      <c r="B4" s="6"/>
      <c r="C4" s="11"/>
      <c r="D4" s="11"/>
      <c r="E4" s="11"/>
      <c r="F4" s="9"/>
      <c r="G4" s="9"/>
      <c r="H4" s="9"/>
      <c r="I4" s="16"/>
      <c r="J4" s="9"/>
      <c r="K4" s="9"/>
      <c r="L4" s="10"/>
      <c r="M4" s="9"/>
      <c r="N4" s="9"/>
      <c r="O4" s="14" t="str">
        <f>"Tháng: "&amp;TEXT('Bảng chấm công'!Thang,"00")&amp;"/"&amp;#REF!</f>
        <v>#REF!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1"/>
      <c r="AL4" s="11"/>
      <c r="AM4" s="11"/>
      <c r="AN4" s="6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 t="str">
        <f>"Tháng: "&amp;TEXT('Bảng chấm công'!Thang,"00")&amp;"/"&amp;#REF!</f>
        <v>#REF!</v>
      </c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17"/>
      <c r="BV4" s="5"/>
      <c r="BW4" s="5"/>
      <c r="BX4" s="11"/>
      <c r="BY4" s="11"/>
      <c r="BZ4" s="11"/>
      <c r="CA4" s="7"/>
      <c r="CB4" s="7"/>
      <c r="CC4" s="7"/>
      <c r="CD4" s="7"/>
      <c r="CE4" s="7"/>
      <c r="CF4" s="7"/>
      <c r="CG4" s="8"/>
      <c r="CH4" s="7"/>
      <c r="CI4" s="7"/>
      <c r="CJ4" s="7"/>
      <c r="CK4" s="7"/>
      <c r="CL4" s="7"/>
      <c r="CM4" s="7"/>
      <c r="CN4" s="7"/>
      <c r="CO4" s="7"/>
      <c r="CP4" s="7"/>
      <c r="CQ4" s="13" t="str">
        <f>"Tháng: "&amp;TEXT('Bảng chấm công'!Thang,"00")&amp;"/"&amp;#REF!</f>
        <v>#REF!</v>
      </c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8"/>
      <c r="DG4" s="8"/>
      <c r="DH4" s="15"/>
      <c r="DI4" s="8"/>
      <c r="DJ4" s="8"/>
      <c r="DK4" s="11"/>
      <c r="DL4" s="11"/>
      <c r="DM4" s="11"/>
    </row>
    <row r="5" ht="11.25" customHeight="1">
      <c r="A5" s="3"/>
      <c r="B5" s="6"/>
      <c r="C5" s="11"/>
      <c r="D5" s="11"/>
      <c r="E5" s="11"/>
      <c r="F5" s="9"/>
      <c r="G5" s="9"/>
      <c r="H5" s="9"/>
      <c r="I5" s="16"/>
      <c r="J5" s="9"/>
      <c r="K5" s="9"/>
      <c r="L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1"/>
      <c r="AL5" s="11"/>
      <c r="AM5" s="11"/>
      <c r="AN5" s="6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17"/>
      <c r="BV5" s="5"/>
      <c r="BW5" s="5"/>
      <c r="BX5" s="11"/>
      <c r="BY5" s="11"/>
      <c r="BZ5" s="11"/>
      <c r="CA5" s="7"/>
      <c r="CB5" s="7"/>
      <c r="CC5" s="7"/>
      <c r="CD5" s="7"/>
      <c r="CE5" s="7"/>
      <c r="CF5" s="7"/>
      <c r="CG5" s="8"/>
      <c r="CH5" s="7"/>
      <c r="CI5" s="7"/>
      <c r="CJ5" s="7"/>
      <c r="CK5" s="7"/>
      <c r="CL5" s="7"/>
      <c r="CM5" s="7"/>
      <c r="CN5" s="7"/>
      <c r="CO5" s="7"/>
      <c r="CP5" s="7"/>
      <c r="CQ5" s="8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8"/>
      <c r="DG5" s="8"/>
      <c r="DH5" s="15"/>
      <c r="DI5" s="8"/>
      <c r="DJ5" s="8"/>
      <c r="DK5" s="11"/>
      <c r="DL5" s="11"/>
      <c r="DM5" s="11"/>
    </row>
    <row r="6" ht="11.25" customHeight="1">
      <c r="A6" s="11"/>
      <c r="B6" s="6"/>
      <c r="C6" s="11"/>
      <c r="D6" s="6"/>
      <c r="E6" s="11"/>
      <c r="F6" s="6"/>
      <c r="G6" s="11"/>
      <c r="H6" s="6"/>
      <c r="I6" s="11"/>
      <c r="J6" s="6"/>
      <c r="K6" s="11"/>
      <c r="L6" s="6"/>
      <c r="M6" s="11"/>
      <c r="N6" s="6"/>
      <c r="O6" s="11"/>
      <c r="P6" s="6"/>
      <c r="Q6" s="11"/>
      <c r="R6" s="6"/>
      <c r="S6" s="11"/>
      <c r="T6" s="6"/>
      <c r="U6" s="11"/>
      <c r="V6" s="6"/>
      <c r="W6" s="11"/>
      <c r="X6" s="6"/>
      <c r="Y6" s="11"/>
      <c r="Z6" s="6"/>
      <c r="AA6" s="11"/>
      <c r="AB6" s="6"/>
      <c r="AC6" s="11"/>
      <c r="AD6" s="6"/>
      <c r="AE6" s="9"/>
      <c r="AF6" s="9"/>
      <c r="AG6" s="9"/>
      <c r="AH6" s="11"/>
      <c r="AI6" s="6"/>
      <c r="AJ6" s="11"/>
      <c r="AK6" s="6"/>
      <c r="AL6" s="11"/>
      <c r="AM6" s="6"/>
      <c r="AN6" s="11"/>
      <c r="AO6" s="6"/>
      <c r="AP6" s="11"/>
      <c r="AQ6" s="6"/>
      <c r="AR6" s="11"/>
      <c r="AS6" s="6"/>
      <c r="AT6" s="11"/>
      <c r="AU6" s="6"/>
      <c r="AV6" s="11"/>
      <c r="AW6" s="6"/>
      <c r="AX6" s="11"/>
      <c r="AY6" s="6"/>
      <c r="AZ6" s="11"/>
      <c r="BA6" s="6"/>
      <c r="BB6" s="11"/>
      <c r="BC6" s="6"/>
      <c r="BD6" s="11"/>
      <c r="BE6" s="6"/>
      <c r="BF6" s="11"/>
      <c r="BG6" s="6"/>
      <c r="BH6" s="11"/>
      <c r="BI6" s="6"/>
      <c r="BJ6" s="5"/>
      <c r="BK6" s="5"/>
      <c r="BL6" s="5"/>
      <c r="BM6" s="5"/>
      <c r="BN6" s="5"/>
      <c r="BO6" s="5"/>
      <c r="BP6" s="5"/>
      <c r="BQ6" s="5"/>
      <c r="BR6" s="5"/>
      <c r="BS6" s="6"/>
      <c r="BT6" s="11"/>
      <c r="BU6" s="6"/>
      <c r="BV6" s="11"/>
      <c r="BW6" s="7"/>
      <c r="BX6" s="11"/>
      <c r="BY6" s="11"/>
      <c r="BZ6" s="11"/>
      <c r="CA6" s="7"/>
      <c r="CB6" s="7"/>
      <c r="CC6" s="7"/>
      <c r="CD6" s="7"/>
      <c r="CE6" s="7"/>
      <c r="CF6" s="7"/>
      <c r="CG6" s="8"/>
      <c r="CH6" s="7"/>
      <c r="CI6" s="7"/>
      <c r="CJ6" s="7"/>
      <c r="CK6" s="7"/>
      <c r="CL6" s="7"/>
      <c r="CM6" s="7"/>
      <c r="CN6" s="7"/>
      <c r="CO6" s="7"/>
      <c r="CP6" s="7"/>
      <c r="CQ6" s="8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8"/>
      <c r="DG6" s="8"/>
      <c r="DH6" s="15"/>
      <c r="DI6" s="8"/>
      <c r="DJ6" s="8"/>
      <c r="DK6" s="11"/>
      <c r="DL6" s="11"/>
      <c r="DM6" s="11"/>
    </row>
    <row r="7" ht="11.25" customHeight="1">
      <c r="A7" s="3"/>
      <c r="B7" s="6"/>
      <c r="C7" s="11"/>
      <c r="D7" s="11"/>
      <c r="E7" s="18"/>
      <c r="F7" s="19"/>
      <c r="G7" s="19"/>
      <c r="H7" s="19"/>
      <c r="I7" s="16"/>
      <c r="J7" s="9"/>
      <c r="K7" s="9"/>
      <c r="L7" s="10"/>
      <c r="M7" s="9"/>
      <c r="N7" s="9"/>
      <c r="O7" s="9"/>
      <c r="P7" s="9"/>
      <c r="Q7" s="9"/>
      <c r="R7" s="9"/>
      <c r="S7" s="9"/>
      <c r="T7" s="20"/>
      <c r="U7" s="20"/>
      <c r="V7" s="20"/>
      <c r="W7" s="20"/>
      <c r="X7" s="20"/>
      <c r="Y7" s="20"/>
      <c r="Z7" s="9"/>
      <c r="AA7" s="9"/>
      <c r="AB7" s="9"/>
      <c r="AC7" s="9"/>
      <c r="AD7" s="9"/>
      <c r="AE7" s="9"/>
      <c r="AF7" s="9"/>
      <c r="AG7" s="9"/>
      <c r="AH7" s="20"/>
      <c r="AI7" s="20"/>
      <c r="AJ7" s="20"/>
      <c r="AK7" s="11"/>
      <c r="AL7" s="11"/>
      <c r="AM7" s="11"/>
      <c r="AN7" s="6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11"/>
      <c r="BY7" s="11"/>
      <c r="BZ7" s="11"/>
      <c r="CA7" s="7"/>
      <c r="CB7" s="7"/>
      <c r="CC7" s="7"/>
      <c r="CD7" s="7"/>
      <c r="CE7" s="7"/>
      <c r="CF7" s="7"/>
      <c r="CG7" s="8"/>
      <c r="CH7" s="7"/>
      <c r="CI7" s="7"/>
      <c r="CJ7" s="7"/>
      <c r="CK7" s="7"/>
      <c r="CL7" s="7"/>
      <c r="CM7" s="7"/>
      <c r="CN7" s="7"/>
      <c r="CO7" s="7"/>
      <c r="CP7" s="7"/>
      <c r="CQ7" s="8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8"/>
      <c r="DG7" s="8"/>
      <c r="DH7" s="15"/>
      <c r="DI7" s="8"/>
      <c r="DJ7" s="8"/>
      <c r="DK7" s="11"/>
      <c r="DL7" s="11"/>
      <c r="DM7" s="11"/>
    </row>
    <row r="8">
      <c r="A8" s="21" t="s">
        <v>6</v>
      </c>
      <c r="B8" s="22"/>
      <c r="C8" s="22"/>
      <c r="D8" s="22" t="s">
        <v>7</v>
      </c>
      <c r="E8" s="23" t="s">
        <v>8</v>
      </c>
      <c r="F8" s="24"/>
      <c r="G8" s="25"/>
      <c r="H8" s="26"/>
      <c r="I8" s="27" t="s">
        <v>9</v>
      </c>
      <c r="J8" s="28"/>
      <c r="K8" s="28"/>
      <c r="L8" s="28"/>
      <c r="M8" s="28"/>
      <c r="N8" s="28"/>
      <c r="O8" s="28"/>
      <c r="P8" s="28"/>
      <c r="Q8" s="28"/>
      <c r="R8" s="28"/>
      <c r="S8" s="29"/>
      <c r="T8" s="30" t="s">
        <v>10</v>
      </c>
      <c r="U8" s="31"/>
      <c r="V8" s="31"/>
      <c r="W8" s="31"/>
      <c r="X8" s="31"/>
      <c r="Y8" s="31"/>
      <c r="Z8" s="32"/>
      <c r="AA8" s="33" t="s">
        <v>11</v>
      </c>
      <c r="AB8" s="32"/>
      <c r="AC8" s="34" t="s">
        <v>12</v>
      </c>
      <c r="AD8" s="31"/>
      <c r="AE8" s="31"/>
      <c r="AF8" s="31"/>
      <c r="AG8" s="32"/>
      <c r="AH8" s="35" t="s">
        <v>13</v>
      </c>
      <c r="AI8" s="31"/>
      <c r="AJ8" s="32"/>
      <c r="AK8" s="36"/>
      <c r="AL8" s="21" t="s">
        <v>6</v>
      </c>
      <c r="AM8" s="22"/>
      <c r="AN8" s="22" t="s">
        <v>7</v>
      </c>
      <c r="AO8" s="37"/>
      <c r="AP8" s="37"/>
      <c r="AQ8" s="37"/>
      <c r="AR8" s="37"/>
      <c r="AS8" s="37"/>
      <c r="AT8" s="37"/>
      <c r="AU8" s="37"/>
      <c r="AV8" s="37"/>
      <c r="AW8" s="22"/>
      <c r="AX8" s="22"/>
      <c r="AY8" s="37"/>
      <c r="AZ8" s="37"/>
      <c r="BA8" s="22"/>
      <c r="BB8" s="37"/>
      <c r="BC8" s="22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22"/>
      <c r="BR8" s="37"/>
      <c r="BS8" s="38"/>
      <c r="BT8" s="39" t="s">
        <v>14</v>
      </c>
      <c r="BU8" s="40" t="s">
        <v>15</v>
      </c>
      <c r="BV8" s="41" t="s">
        <v>16</v>
      </c>
      <c r="BW8" s="42"/>
      <c r="BX8" s="43" t="s">
        <v>6</v>
      </c>
      <c r="BY8" s="37"/>
      <c r="BZ8" s="37" t="s">
        <v>7</v>
      </c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44" t="s">
        <v>14</v>
      </c>
      <c r="DG8" s="44" t="s">
        <v>15</v>
      </c>
      <c r="DH8" s="45" t="s">
        <v>17</v>
      </c>
      <c r="DI8" s="46" t="s">
        <v>18</v>
      </c>
      <c r="DJ8" s="46" t="s">
        <v>18</v>
      </c>
      <c r="DK8" s="47" t="s">
        <v>19</v>
      </c>
      <c r="DL8" s="48"/>
      <c r="DM8" s="49"/>
    </row>
    <row r="9">
      <c r="A9" s="50" t="s">
        <v>20</v>
      </c>
      <c r="B9" s="51"/>
      <c r="C9" s="51" t="s">
        <v>21</v>
      </c>
      <c r="D9" s="51" t="s">
        <v>22</v>
      </c>
      <c r="E9" s="52"/>
      <c r="F9" s="53" t="s">
        <v>23</v>
      </c>
      <c r="G9" s="54"/>
      <c r="H9" s="55"/>
      <c r="I9" s="56" t="s">
        <v>24</v>
      </c>
      <c r="J9" s="54"/>
      <c r="K9" s="55"/>
      <c r="L9" s="57" t="s">
        <v>25</v>
      </c>
      <c r="M9" s="58"/>
      <c r="N9" s="59" t="s">
        <v>26</v>
      </c>
      <c r="O9" s="59" t="s">
        <v>27</v>
      </c>
      <c r="P9" s="60" t="s">
        <v>28</v>
      </c>
      <c r="Q9" s="54"/>
      <c r="R9" s="55"/>
      <c r="S9" s="59" t="s">
        <v>29</v>
      </c>
      <c r="T9" s="61" t="s">
        <v>30</v>
      </c>
      <c r="U9" s="62"/>
      <c r="V9" s="63" t="s">
        <v>31</v>
      </c>
      <c r="W9" s="63" t="s">
        <v>32</v>
      </c>
      <c r="X9" s="63" t="s">
        <v>33</v>
      </c>
      <c r="Y9" s="64" t="s">
        <v>34</v>
      </c>
      <c r="Z9" s="65" t="s">
        <v>16</v>
      </c>
      <c r="AA9" s="66" t="s">
        <v>35</v>
      </c>
      <c r="AB9" s="66" t="s">
        <v>36</v>
      </c>
      <c r="AC9" s="67" t="s">
        <v>37</v>
      </c>
      <c r="AD9" s="67" t="s">
        <v>38</v>
      </c>
      <c r="AE9" s="68" t="s">
        <v>39</v>
      </c>
      <c r="AF9" s="69" t="s">
        <v>40</v>
      </c>
      <c r="AG9" s="68" t="s">
        <v>18</v>
      </c>
      <c r="AH9" s="70" t="s">
        <v>34</v>
      </c>
      <c r="AI9" s="70" t="s">
        <v>41</v>
      </c>
      <c r="AJ9" s="70" t="s">
        <v>18</v>
      </c>
      <c r="AK9" s="71" t="s">
        <v>42</v>
      </c>
      <c r="AL9" s="72" t="s">
        <v>20</v>
      </c>
      <c r="AM9" s="73" t="s">
        <v>21</v>
      </c>
      <c r="AN9" s="73" t="s">
        <v>22</v>
      </c>
      <c r="AO9" s="74"/>
      <c r="AP9" s="74"/>
      <c r="AQ9" s="74"/>
      <c r="AR9" s="74"/>
      <c r="AS9" s="74"/>
      <c r="AT9" s="74"/>
      <c r="AU9" s="74"/>
      <c r="AV9" s="74"/>
      <c r="AW9" s="73"/>
      <c r="AX9" s="73"/>
      <c r="AY9" s="74"/>
      <c r="AZ9" s="74"/>
      <c r="BA9" s="73"/>
      <c r="BB9" s="74"/>
      <c r="BC9" s="73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5"/>
      <c r="BP9" s="75"/>
      <c r="BQ9" s="73"/>
      <c r="BR9" s="51"/>
      <c r="BS9" s="51"/>
      <c r="BT9" s="52"/>
      <c r="BU9" s="52"/>
      <c r="BV9" s="76" t="s">
        <v>43</v>
      </c>
      <c r="BW9" s="77" t="s">
        <v>44</v>
      </c>
      <c r="BX9" s="78" t="s">
        <v>20</v>
      </c>
      <c r="BY9" s="74" t="s">
        <v>21</v>
      </c>
      <c r="BZ9" s="74" t="s">
        <v>22</v>
      </c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52"/>
      <c r="DG9" s="52"/>
      <c r="DH9" s="52"/>
      <c r="DI9" s="79"/>
      <c r="DJ9" s="79" t="s">
        <v>45</v>
      </c>
      <c r="DK9" s="80"/>
      <c r="DL9" s="81"/>
      <c r="DM9" s="49"/>
    </row>
    <row r="10">
      <c r="A10" s="82" t="s">
        <v>20</v>
      </c>
      <c r="B10" s="83"/>
      <c r="C10" s="83"/>
      <c r="D10" s="83"/>
      <c r="E10" s="84"/>
      <c r="F10" s="85" t="s">
        <v>46</v>
      </c>
      <c r="G10" s="86" t="s">
        <v>47</v>
      </c>
      <c r="H10" s="87" t="s">
        <v>48</v>
      </c>
      <c r="I10" s="88" t="s">
        <v>49</v>
      </c>
      <c r="J10" s="89" t="s">
        <v>50</v>
      </c>
      <c r="K10" s="89" t="s">
        <v>51</v>
      </c>
      <c r="L10" s="89" t="s">
        <v>52</v>
      </c>
      <c r="M10" s="90" t="s">
        <v>53</v>
      </c>
      <c r="N10" s="84"/>
      <c r="O10" s="84"/>
      <c r="P10" s="89" t="s">
        <v>54</v>
      </c>
      <c r="Q10" s="89" t="s">
        <v>55</v>
      </c>
      <c r="R10" s="89" t="s">
        <v>56</v>
      </c>
      <c r="S10" s="84"/>
      <c r="T10" s="91" t="s">
        <v>57</v>
      </c>
      <c r="U10" s="92" t="s">
        <v>58</v>
      </c>
      <c r="V10" s="84"/>
      <c r="W10" s="84"/>
      <c r="X10" s="84"/>
      <c r="Y10" s="93">
        <v>0.105</v>
      </c>
      <c r="Z10" s="94"/>
      <c r="AA10" s="84"/>
      <c r="AB10" s="84"/>
      <c r="AC10" s="95">
        <v>0.105</v>
      </c>
      <c r="AD10" s="95">
        <v>0.005</v>
      </c>
      <c r="AE10" s="84"/>
      <c r="AF10" s="84"/>
      <c r="AG10" s="84"/>
      <c r="AH10" s="96" t="s">
        <v>59</v>
      </c>
      <c r="AI10" s="96">
        <v>0.02</v>
      </c>
      <c r="AJ10" s="97"/>
      <c r="AK10" s="98" t="s">
        <v>60</v>
      </c>
      <c r="AL10" s="72" t="s">
        <v>20</v>
      </c>
      <c r="AM10" s="73"/>
      <c r="AN10" s="73"/>
      <c r="AO10" s="99"/>
      <c r="AP10" s="99"/>
      <c r="AQ10" s="99"/>
      <c r="AR10" s="99"/>
      <c r="AS10" s="99"/>
      <c r="AT10" s="99"/>
      <c r="AU10" s="99"/>
      <c r="AV10" s="99"/>
      <c r="AW10" s="100"/>
      <c r="AX10" s="100"/>
      <c r="AY10" s="99"/>
      <c r="AZ10" s="99"/>
      <c r="BA10" s="100"/>
      <c r="BB10" s="99"/>
      <c r="BC10" s="100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100"/>
      <c r="BR10" s="73"/>
      <c r="BS10" s="73"/>
      <c r="BT10" s="101"/>
      <c r="BU10" s="102"/>
      <c r="BV10" s="76" t="s">
        <v>61</v>
      </c>
      <c r="BW10" s="103" t="s">
        <v>62</v>
      </c>
      <c r="BX10" s="78" t="s">
        <v>20</v>
      </c>
      <c r="BY10" s="74"/>
      <c r="BZ10" s="74"/>
      <c r="CA10" s="99"/>
      <c r="CB10" s="99"/>
      <c r="CC10" s="99"/>
      <c r="CD10" s="99"/>
      <c r="CE10" s="99"/>
      <c r="CF10" s="99"/>
      <c r="CG10" s="99"/>
      <c r="CH10" s="99"/>
      <c r="CI10" s="99"/>
      <c r="CJ10" s="99"/>
      <c r="CK10" s="99"/>
      <c r="CL10" s="99"/>
      <c r="CM10" s="99"/>
      <c r="CN10" s="99"/>
      <c r="CO10" s="99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99"/>
      <c r="DA10" s="99"/>
      <c r="DB10" s="99"/>
      <c r="DC10" s="99"/>
      <c r="DD10" s="99"/>
      <c r="DE10" s="99"/>
      <c r="DF10" s="104"/>
      <c r="DG10" s="105"/>
      <c r="DH10" s="106"/>
      <c r="DI10" s="79"/>
      <c r="DJ10" s="107" t="s">
        <v>63</v>
      </c>
      <c r="DK10" s="108"/>
      <c r="DL10" s="109"/>
      <c r="DM10" s="49"/>
    </row>
    <row r="11">
      <c r="A11" s="110">
        <v>1.0</v>
      </c>
      <c r="B11" s="111">
        <v>2.0</v>
      </c>
      <c r="C11" s="112">
        <v>3.0</v>
      </c>
      <c r="D11" s="111">
        <v>4.0</v>
      </c>
      <c r="E11" s="112">
        <v>5.0</v>
      </c>
      <c r="F11" s="111">
        <v>6.0</v>
      </c>
      <c r="G11" s="112">
        <v>7.0</v>
      </c>
      <c r="H11" s="111">
        <v>8.0</v>
      </c>
      <c r="I11" s="112">
        <v>9.0</v>
      </c>
      <c r="J11" s="111">
        <v>10.0</v>
      </c>
      <c r="K11" s="112">
        <v>11.0</v>
      </c>
      <c r="L11" s="111">
        <v>12.0</v>
      </c>
      <c r="M11" s="112">
        <v>13.0</v>
      </c>
      <c r="N11" s="111"/>
      <c r="O11" s="111">
        <v>14.0</v>
      </c>
      <c r="P11" s="112">
        <v>15.0</v>
      </c>
      <c r="Q11" s="111">
        <v>16.0</v>
      </c>
      <c r="R11" s="111">
        <v>18.0</v>
      </c>
      <c r="S11" s="112">
        <v>19.0</v>
      </c>
      <c r="T11" s="111">
        <v>20.0</v>
      </c>
      <c r="U11" s="112">
        <v>21.0</v>
      </c>
      <c r="V11" s="111">
        <v>22.0</v>
      </c>
      <c r="W11" s="112">
        <v>23.0</v>
      </c>
      <c r="X11" s="111">
        <v>24.0</v>
      </c>
      <c r="Y11" s="112">
        <v>25.0</v>
      </c>
      <c r="Z11" s="111">
        <v>26.0</v>
      </c>
      <c r="AA11" s="112">
        <v>27.0</v>
      </c>
      <c r="AB11" s="111">
        <v>28.0</v>
      </c>
      <c r="AC11" s="112">
        <v>29.0</v>
      </c>
      <c r="AD11" s="111">
        <v>30.0</v>
      </c>
      <c r="AE11" s="112">
        <v>31.0</v>
      </c>
      <c r="AF11" s="111"/>
      <c r="AG11" s="111">
        <v>32.0</v>
      </c>
      <c r="AH11" s="112">
        <v>33.0</v>
      </c>
      <c r="AI11" s="111">
        <v>34.0</v>
      </c>
      <c r="AJ11" s="112">
        <v>35.0</v>
      </c>
      <c r="AK11" s="113"/>
      <c r="AL11" s="110" t="s">
        <v>64</v>
      </c>
      <c r="AM11" s="112" t="s">
        <v>65</v>
      </c>
      <c r="AN11" s="112" t="s">
        <v>66</v>
      </c>
      <c r="AO11" s="114"/>
      <c r="AP11" s="114"/>
      <c r="AQ11" s="115"/>
      <c r="AR11" s="115"/>
      <c r="AS11" s="115"/>
      <c r="AT11" s="115"/>
      <c r="AU11" s="115"/>
      <c r="AV11" s="115"/>
      <c r="AW11" s="116"/>
      <c r="AX11" s="116"/>
      <c r="AY11" s="115"/>
      <c r="AZ11" s="115"/>
      <c r="BA11" s="116"/>
      <c r="BB11" s="115"/>
      <c r="BC11" s="116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6"/>
      <c r="BR11" s="115"/>
      <c r="BS11" s="116"/>
      <c r="BT11" s="117" t="s">
        <v>67</v>
      </c>
      <c r="BU11" s="118" t="s">
        <v>67</v>
      </c>
      <c r="BV11" s="119" t="s">
        <v>67</v>
      </c>
      <c r="BW11" s="120"/>
      <c r="BX11" s="110" t="s">
        <v>64</v>
      </c>
      <c r="BY11" s="112" t="s">
        <v>65</v>
      </c>
      <c r="BZ11" s="112" t="s">
        <v>66</v>
      </c>
      <c r="CA11" s="114"/>
      <c r="CB11" s="115"/>
      <c r="CC11" s="115"/>
      <c r="CD11" s="115"/>
      <c r="CE11" s="115"/>
      <c r="CF11" s="115"/>
      <c r="CG11" s="115"/>
      <c r="CH11" s="115"/>
      <c r="CI11" s="115"/>
      <c r="CJ11" s="115"/>
      <c r="CK11" s="115"/>
      <c r="CL11" s="115"/>
      <c r="CM11" s="115"/>
      <c r="CN11" s="115"/>
      <c r="CO11" s="115"/>
      <c r="CP11" s="115"/>
      <c r="CQ11" s="115"/>
      <c r="CR11" s="115"/>
      <c r="CS11" s="115"/>
      <c r="CT11" s="115"/>
      <c r="CU11" s="115"/>
      <c r="CV11" s="115"/>
      <c r="CW11" s="115"/>
      <c r="CX11" s="115"/>
      <c r="CY11" s="115"/>
      <c r="CZ11" s="115"/>
      <c r="DA11" s="115"/>
      <c r="DB11" s="115"/>
      <c r="DC11" s="115"/>
      <c r="DD11" s="115"/>
      <c r="DE11" s="115"/>
      <c r="DF11" s="121" t="s">
        <v>67</v>
      </c>
      <c r="DG11" s="121" t="s">
        <v>67</v>
      </c>
      <c r="DH11" s="122" t="s">
        <v>67</v>
      </c>
      <c r="DI11" s="123" t="s">
        <v>67</v>
      </c>
      <c r="DJ11" s="124" t="s">
        <v>68</v>
      </c>
      <c r="DK11" s="125" t="s">
        <v>69</v>
      </c>
      <c r="DL11" s="126" t="s">
        <v>70</v>
      </c>
      <c r="DM11" s="127"/>
    </row>
    <row r="12">
      <c r="A12" s="128">
        <f>A11+1</f>
        <v>2</v>
      </c>
      <c r="B12" s="129" t="s">
        <v>71</v>
      </c>
      <c r="C12" s="130" t="s">
        <v>72</v>
      </c>
      <c r="D12" s="131"/>
      <c r="E12" s="131">
        <v>2460000.0</v>
      </c>
      <c r="F12" s="131">
        <v>2091000.0</v>
      </c>
      <c r="G12" s="131">
        <v>0.0</v>
      </c>
      <c r="H12" s="132">
        <f>+G12+F12</f>
        <v>2091000</v>
      </c>
      <c r="I12" s="133">
        <f>$BT12</f>
        <v>0</v>
      </c>
      <c r="J12" s="132" t="str">
        <f>ROUND(H12*$I12/$AK12,0)</f>
        <v>#DIV/0!</v>
      </c>
      <c r="K12" s="132" t="str">
        <f>ROUND((H12/$I$70)*BU12,0)</f>
        <v>#DIV/0!</v>
      </c>
      <c r="L12" s="134">
        <f>$DI12</f>
        <v>0</v>
      </c>
      <c r="M12" s="132" t="str">
        <f>ROUND((H12/$I$70)*$L12,0)</f>
        <v>#DIV/0!</v>
      </c>
      <c r="N12" s="132">
        <f>-IF(COUNTIF($AO12:$BS12,"N")&gt;1,$E12/$I$70*40%*(COUNTIF($AO12:$BS12,"N")-1),0)</f>
        <v>0</v>
      </c>
      <c r="O12" s="135"/>
      <c r="P12" s="132" t="str">
        <f>1000000/$BW12*I12</f>
        <v>#DIV/0!</v>
      </c>
      <c r="Q12" s="135"/>
      <c r="R12" s="132" t="str">
        <f>SUMIF('Chi tiết đi site'!$C$4:$C$89,'Bảng chấm công'!$B12,'Chi tiết đi site'!$H$4:$H$89)</f>
        <v>#N/A</v>
      </c>
      <c r="S12" s="136" t="str">
        <f>SUM(J12:R12)-L12</f>
        <v>#DIV/0!</v>
      </c>
      <c r="T12" s="135"/>
      <c r="U12" s="132">
        <f>T12*4400000</f>
        <v>0</v>
      </c>
      <c r="V12" s="132">
        <v>1.1E7</v>
      </c>
      <c r="W12" s="132" t="str">
        <f>IF(P12&gt;730000,730000+Q12+R12,P12+Q12+R12)</f>
        <v>#DIV/0!</v>
      </c>
      <c r="X12" s="132">
        <f>+IF(L12&gt;0,M12-((DJ12/8)*DL12),0)</f>
        <v>0</v>
      </c>
      <c r="Y12" s="132">
        <f>F12*$Y$10</f>
        <v>219555</v>
      </c>
      <c r="Z12" s="136" t="str">
        <f>SUM(U12:Y12)</f>
        <v>#DIV/0!</v>
      </c>
      <c r="AA12" s="132" t="str">
        <f>IF(S12-Z12&gt;0,S12-Z12,0)</f>
        <v>#DIV/0!</v>
      </c>
      <c r="AB12" s="132" t="str">
        <f>ROUND(IF(AND(AA12&lt;=5000000,AA12&gt;0), AA12*5%, IF(AND(AA12&gt;5000000, AA12&lt;=10000000), 250000+(AA12-5000000)*10%, IF(AND(AA12&gt;10000000, AA12&lt;=18000000), 750000+(AA12-10000000)*15%,  IF(AND(AA12&gt;18000000, AA12&lt;=32000000), 1950000+(AA12-18000000)*20%,  IF(AND(AA12&gt;32000000, AA12&lt;=52000000), 4750000+(AA12-32000000)*25%,  IF(AND(AA12&gt;52000000, AA12&lt;=80000000), 9750000+(AA12-52000000)*30%, IF(AA12&gt;80000000, 18150000+(AA12-80000000)*35%, 0))))))),0)</f>
        <v>#DIV/0!</v>
      </c>
      <c r="AC12" s="132">
        <f>F12*$AC$10</f>
        <v>219555</v>
      </c>
      <c r="AD12" s="132">
        <f>IF(F12*$AD$10&gt;234000,234000,F12*$AD$10)</f>
        <v>10455</v>
      </c>
      <c r="AE12" s="135"/>
      <c r="AF12" s="135"/>
      <c r="AG12" s="137" t="str">
        <f>ROUND(+$S12-$AC12-$AD12-$AB12-AE12,-2)-AF12</f>
        <v>#DIV/0!</v>
      </c>
      <c r="AH12" s="132">
        <f>ROUND($F12*32%-AC12,0)</f>
        <v>449565</v>
      </c>
      <c r="AI12" s="132">
        <f>ROUND($F12*$AI$10,0)</f>
        <v>41820</v>
      </c>
      <c r="AJ12" s="138" t="str">
        <f>+$S12+$AH12+$AI12</f>
        <v>#DIV/0!</v>
      </c>
      <c r="AK12" s="139"/>
      <c r="AL12" s="140">
        <f>A12</f>
        <v>2</v>
      </c>
      <c r="AM12" s="141" t="str">
        <f>C12</f>
        <v>Trương Thị Hồng Nhung</v>
      </c>
      <c r="AN12" s="142"/>
      <c r="AO12" s="143" t="s">
        <v>73</v>
      </c>
      <c r="AP12" s="143" t="s">
        <v>73</v>
      </c>
      <c r="AQ12" s="144" t="s">
        <v>74</v>
      </c>
      <c r="AR12" s="143" t="s">
        <v>75</v>
      </c>
      <c r="AS12" s="145" t="s">
        <v>75</v>
      </c>
      <c r="AT12" s="146"/>
      <c r="AU12" s="147"/>
      <c r="AV12" s="143" t="s">
        <v>75</v>
      </c>
      <c r="AW12" s="145" t="s">
        <v>75</v>
      </c>
      <c r="AX12" s="143" t="s">
        <v>75</v>
      </c>
      <c r="AY12" s="145" t="s">
        <v>75</v>
      </c>
      <c r="AZ12" s="148" t="s">
        <v>74</v>
      </c>
      <c r="BA12" s="145" t="s">
        <v>75</v>
      </c>
      <c r="BB12" s="146"/>
      <c r="BC12" s="145" t="s">
        <v>75</v>
      </c>
      <c r="BD12" s="143" t="s">
        <v>75</v>
      </c>
      <c r="BE12" s="145" t="s">
        <v>75</v>
      </c>
      <c r="BF12" s="143" t="s">
        <v>75</v>
      </c>
      <c r="BG12" s="145" t="s">
        <v>75</v>
      </c>
      <c r="BH12" s="146"/>
      <c r="BI12" s="147"/>
      <c r="BJ12" s="143" t="s">
        <v>75</v>
      </c>
      <c r="BK12" s="145" t="s">
        <v>75</v>
      </c>
      <c r="BL12" s="143" t="s">
        <v>75</v>
      </c>
      <c r="BM12" s="145" t="s">
        <v>75</v>
      </c>
      <c r="BN12" s="143" t="s">
        <v>75</v>
      </c>
      <c r="BO12" s="145" t="s">
        <v>75</v>
      </c>
      <c r="BP12" s="146"/>
      <c r="BQ12" s="145" t="s">
        <v>75</v>
      </c>
      <c r="BR12" s="143" t="s">
        <v>75</v>
      </c>
      <c r="BS12" s="147"/>
      <c r="BT12" s="149">
        <f>COUNTIF(AO12:BS12,$BM$83)+COUNTIF(AO12:BS12,$BM$86)/2+COUNTIF(AO12:BS12,$BM$87)+COUNTIF(AO12:BS12,$BM$84)+COUNTIF(AO12:BS12,$BN$88)</f>
        <v>0</v>
      </c>
      <c r="BU12" s="150"/>
      <c r="BV12" s="151">
        <f>SUM(BT12:BU12)</f>
        <v>0</v>
      </c>
      <c r="BW12" s="152" t="str">
        <f>+IF(LEFT($D12,2)="TT",$I$70-2,$I$70)</f>
        <v/>
      </c>
      <c r="BX12" s="153">
        <f t="shared" ref="BX12:BZ12" si="1">AL12</f>
        <v>2</v>
      </c>
      <c r="BY12" s="154" t="str">
        <f t="shared" si="1"/>
        <v>Trương Thị Hồng Nhung</v>
      </c>
      <c r="BZ12" s="142" t="str">
        <f t="shared" si="1"/>
        <v/>
      </c>
      <c r="CA12" s="146"/>
      <c r="CB12" s="146"/>
      <c r="CC12" s="147"/>
      <c r="CD12" s="146"/>
      <c r="CE12" s="147"/>
      <c r="CF12" s="146"/>
      <c r="CG12" s="147"/>
      <c r="CH12" s="146"/>
      <c r="CI12" s="147"/>
      <c r="CJ12" s="146"/>
      <c r="CK12" s="147"/>
      <c r="CL12" s="146"/>
      <c r="CM12" s="147"/>
      <c r="CN12" s="146"/>
      <c r="CO12" s="147"/>
      <c r="CP12" s="146"/>
      <c r="CQ12" s="147"/>
      <c r="CR12" s="146"/>
      <c r="CS12" s="147"/>
      <c r="CT12" s="146"/>
      <c r="CU12" s="147"/>
      <c r="CV12" s="146"/>
      <c r="CW12" s="147"/>
      <c r="CX12" s="146"/>
      <c r="CY12" s="147"/>
      <c r="CZ12" s="146"/>
      <c r="DA12" s="147"/>
      <c r="DB12" s="146"/>
      <c r="DC12" s="147"/>
      <c r="DD12" s="146"/>
      <c r="DE12" s="147"/>
      <c r="DF12" s="155">
        <f>(SUM(BZ12:DD12)-SUM(CG12+CN12+CU12+DB12)+(CA12+CB12))*1.5/8</f>
        <v>0</v>
      </c>
      <c r="DG12" s="155">
        <f>SUM(CG12+CN12+CU12+DB12)*2/8</f>
        <v>0</v>
      </c>
      <c r="DH12" s="155">
        <f>SUM(CA12+CB12)*3/8</f>
        <v>0</v>
      </c>
      <c r="DI12" s="151">
        <f>SUM($DF12:$DH12)</f>
        <v>0</v>
      </c>
      <c r="DJ12" s="151">
        <f>+SUM($CA12:$DE12)</f>
        <v>0</v>
      </c>
      <c r="DK12" s="156">
        <f>H12</f>
        <v>2091000</v>
      </c>
      <c r="DL12" s="157" t="str">
        <f>ROUND(DK12/BW12,0)</f>
        <v>#DIV/0!</v>
      </c>
      <c r="DM12" s="158"/>
    </row>
    <row r="13" ht="11.25" customHeight="1">
      <c r="A13" s="159"/>
      <c r="B13" s="160"/>
      <c r="C13" s="11"/>
      <c r="D13" s="11"/>
      <c r="E13" s="11"/>
      <c r="F13" s="11"/>
      <c r="G13" s="11"/>
      <c r="H13" s="11"/>
      <c r="I13" s="11"/>
      <c r="J13" s="11"/>
      <c r="K13" s="11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</row>
    <row r="14" ht="11.25" customHeight="1">
      <c r="A14" s="159"/>
      <c r="B14" s="160"/>
      <c r="C14" s="11"/>
      <c r="D14" s="11"/>
      <c r="E14" s="11"/>
      <c r="F14" s="11"/>
      <c r="G14" s="11"/>
      <c r="H14" s="11"/>
      <c r="I14" s="11"/>
      <c r="J14" s="11"/>
      <c r="K14" s="11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</row>
    <row r="15" ht="11.25" customHeight="1">
      <c r="A15" s="159"/>
      <c r="B15" s="160"/>
      <c r="C15" s="11"/>
      <c r="D15" s="11"/>
      <c r="E15" s="11"/>
      <c r="F15" s="11"/>
      <c r="G15" s="11"/>
      <c r="H15" s="11"/>
      <c r="I15" s="11"/>
      <c r="J15" s="11"/>
      <c r="K15" s="11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</row>
    <row r="16" ht="11.25" customHeight="1">
      <c r="A16" s="159"/>
      <c r="B16" s="160"/>
      <c r="C16" s="11"/>
      <c r="D16" s="11"/>
      <c r="E16" s="11"/>
      <c r="F16" s="11"/>
      <c r="G16" s="11"/>
      <c r="H16" s="11"/>
      <c r="I16" s="11"/>
      <c r="J16" s="11"/>
      <c r="K16" s="11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</row>
    <row r="17" ht="11.25" customHeight="1">
      <c r="A17" s="159"/>
      <c r="B17" s="160"/>
      <c r="C17" s="11"/>
      <c r="D17" s="11"/>
      <c r="E17" s="11"/>
      <c r="F17" s="11"/>
      <c r="G17" s="11"/>
      <c r="H17" s="11"/>
      <c r="I17" s="11"/>
      <c r="J17" s="11"/>
      <c r="K17" s="11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</row>
    <row r="18" ht="11.25" customHeight="1">
      <c r="A18" s="11"/>
      <c r="B18" s="6"/>
      <c r="C18" s="11"/>
      <c r="D18" s="11"/>
      <c r="E18" s="11"/>
      <c r="F18" s="11"/>
      <c r="G18" s="11"/>
      <c r="H18" s="11"/>
      <c r="I18" s="11"/>
      <c r="J18" s="11"/>
      <c r="K18" s="11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</row>
    <row r="19" ht="11.25" customHeight="1">
      <c r="A19" s="11"/>
      <c r="B19" s="6"/>
      <c r="C19" s="11"/>
      <c r="D19" s="11"/>
      <c r="E19" s="11"/>
      <c r="F19" s="9"/>
      <c r="G19" s="9"/>
      <c r="H19" s="9"/>
      <c r="I19" s="16"/>
      <c r="J19" s="9"/>
      <c r="K19" s="9"/>
      <c r="L19" s="1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1"/>
      <c r="AL19" s="11"/>
      <c r="AM19" s="11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7"/>
      <c r="BU19" s="7"/>
      <c r="BV19" s="7"/>
      <c r="BW19" s="7"/>
      <c r="BX19" s="11"/>
      <c r="BY19" s="11"/>
      <c r="BZ19" s="11"/>
      <c r="CA19" s="7"/>
      <c r="CB19" s="7"/>
      <c r="CC19" s="7"/>
      <c r="CD19" s="7"/>
      <c r="CE19" s="7"/>
      <c r="CF19" s="7"/>
      <c r="CG19" s="8"/>
      <c r="CH19" s="7"/>
      <c r="CI19" s="7"/>
      <c r="CJ19" s="7"/>
      <c r="CK19" s="7"/>
      <c r="CL19" s="7"/>
      <c r="CM19" s="7"/>
      <c r="CN19" s="7"/>
      <c r="CO19" s="7"/>
      <c r="CP19" s="7"/>
      <c r="CQ19" s="8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8"/>
      <c r="DG19" s="8"/>
      <c r="DH19" s="15"/>
      <c r="DI19" s="8"/>
      <c r="DJ19" s="8"/>
      <c r="DK19" s="11"/>
      <c r="DL19" s="11"/>
      <c r="DM19" s="11"/>
    </row>
    <row r="20" ht="11.25" customHeight="1">
      <c r="A20" s="11"/>
      <c r="B20" s="6"/>
      <c r="C20" s="11"/>
      <c r="D20" s="11"/>
      <c r="E20" s="11"/>
      <c r="F20" s="9"/>
      <c r="G20" s="9"/>
      <c r="H20" s="9"/>
      <c r="I20" s="16"/>
      <c r="J20" s="9"/>
      <c r="K20" s="9"/>
      <c r="L20" s="10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1"/>
      <c r="AL20" s="11"/>
      <c r="AM20" s="11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7"/>
      <c r="BU20" s="7"/>
      <c r="BV20" s="7"/>
      <c r="BW20" s="7"/>
      <c r="BX20" s="11"/>
      <c r="BY20" s="11"/>
      <c r="BZ20" s="11"/>
      <c r="CA20" s="7"/>
      <c r="CB20" s="7"/>
      <c r="CC20" s="7"/>
      <c r="CD20" s="7"/>
      <c r="CE20" s="7"/>
      <c r="CF20" s="7"/>
      <c r="CG20" s="8"/>
      <c r="CH20" s="7"/>
      <c r="CI20" s="7"/>
      <c r="CJ20" s="7"/>
      <c r="CK20" s="7"/>
      <c r="CL20" s="7"/>
      <c r="CM20" s="7"/>
      <c r="CN20" s="7"/>
      <c r="CO20" s="7"/>
      <c r="CP20" s="7"/>
      <c r="CQ20" s="8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8"/>
      <c r="DG20" s="8"/>
      <c r="DH20" s="15"/>
      <c r="DI20" s="8"/>
      <c r="DJ20" s="8"/>
      <c r="DK20" s="11"/>
      <c r="DL20" s="11"/>
      <c r="DM20" s="11"/>
    </row>
    <row r="21" ht="11.25" customHeight="1">
      <c r="A21" s="11"/>
      <c r="B21" s="6"/>
      <c r="C21" s="159"/>
      <c r="D21" s="11"/>
      <c r="E21" s="11"/>
      <c r="F21" s="11"/>
      <c r="G21" s="11"/>
      <c r="H21" s="11"/>
      <c r="I21" s="11"/>
      <c r="J21" s="11"/>
      <c r="K21" s="11"/>
      <c r="L21" s="1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</row>
    <row r="22" ht="11.25" customHeight="1">
      <c r="A22" s="11"/>
      <c r="B22" s="6"/>
      <c r="C22" s="159"/>
      <c r="D22" s="11"/>
      <c r="E22" s="11"/>
      <c r="F22" s="11"/>
      <c r="G22" s="11"/>
      <c r="H22" s="11"/>
      <c r="I22" s="11"/>
      <c r="J22" s="11"/>
      <c r="K22" s="11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</row>
    <row r="23" ht="11.25" customHeight="1">
      <c r="A23" s="11"/>
      <c r="B23" s="6"/>
      <c r="C23" s="159"/>
      <c r="D23" s="11"/>
      <c r="E23" s="11"/>
      <c r="F23" s="11"/>
      <c r="G23" s="11"/>
      <c r="H23" s="11"/>
      <c r="I23" s="11"/>
      <c r="J23" s="11"/>
      <c r="K23" s="11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</row>
    <row r="24" ht="11.25" customHeight="1">
      <c r="A24" s="11"/>
      <c r="B24" s="6"/>
      <c r="C24" s="159"/>
      <c r="D24" s="11"/>
      <c r="E24" s="11"/>
      <c r="F24" s="11"/>
      <c r="G24" s="11"/>
      <c r="H24" s="11"/>
      <c r="I24" s="11"/>
      <c r="J24" s="11"/>
      <c r="K24" s="11"/>
      <c r="L24" s="1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</row>
    <row r="25" ht="11.25" customHeight="1">
      <c r="A25" s="11"/>
      <c r="B25" s="6"/>
      <c r="C25" s="11"/>
      <c r="D25" s="11"/>
      <c r="E25" s="11"/>
      <c r="F25" s="9"/>
      <c r="G25" s="9"/>
      <c r="H25" s="9"/>
      <c r="I25" s="16"/>
      <c r="J25" s="9"/>
      <c r="K25" s="9"/>
      <c r="L25" s="1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1"/>
      <c r="AL25" s="11"/>
      <c r="AM25" s="11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7"/>
      <c r="BU25" s="7"/>
      <c r="BV25" s="7"/>
      <c r="BW25" s="7"/>
      <c r="BX25" s="11"/>
      <c r="BY25" s="11"/>
      <c r="BZ25" s="11"/>
      <c r="CA25" s="7"/>
      <c r="CB25" s="7"/>
      <c r="CC25" s="7"/>
      <c r="CD25" s="7"/>
      <c r="CE25" s="7"/>
      <c r="CF25" s="7"/>
      <c r="CG25" s="8"/>
      <c r="CH25" s="7"/>
      <c r="CI25" s="7"/>
      <c r="CJ25" s="7"/>
      <c r="CK25" s="7"/>
      <c r="CL25" s="7"/>
      <c r="CM25" s="7"/>
      <c r="CN25" s="7"/>
      <c r="CO25" s="7"/>
      <c r="CP25" s="7"/>
      <c r="CQ25" s="8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8"/>
      <c r="DG25" s="8"/>
      <c r="DH25" s="15"/>
      <c r="DI25" s="8"/>
      <c r="DJ25" s="8"/>
      <c r="DK25" s="11"/>
      <c r="DL25" s="11"/>
      <c r="DM25" s="11"/>
    </row>
    <row r="26" ht="11.25" customHeight="1">
      <c r="A26" s="11"/>
      <c r="B26" s="6"/>
      <c r="C26" s="11"/>
      <c r="D26" s="11"/>
      <c r="E26" s="11"/>
      <c r="F26" s="9"/>
      <c r="G26" s="9"/>
      <c r="H26" s="9"/>
      <c r="I26" s="16"/>
      <c r="J26" s="9"/>
      <c r="K26" s="9"/>
      <c r="L26" s="10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1"/>
      <c r="AL26" s="11"/>
      <c r="AM26" s="11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7"/>
      <c r="BU26" s="7"/>
      <c r="BV26" s="7"/>
      <c r="BW26" s="7"/>
      <c r="BX26" s="11"/>
      <c r="BY26" s="11"/>
      <c r="BZ26" s="11"/>
      <c r="CA26" s="7"/>
      <c r="CB26" s="7"/>
      <c r="CC26" s="7"/>
      <c r="CD26" s="7"/>
      <c r="CE26" s="7"/>
      <c r="CF26" s="7"/>
      <c r="CG26" s="8"/>
      <c r="CH26" s="7"/>
      <c r="CI26" s="7"/>
      <c r="CJ26" s="7"/>
      <c r="CK26" s="7"/>
      <c r="CL26" s="7"/>
      <c r="CM26" s="7"/>
      <c r="CN26" s="7"/>
      <c r="CO26" s="7"/>
      <c r="CP26" s="7"/>
      <c r="CQ26" s="8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8"/>
      <c r="DG26" s="8"/>
      <c r="DH26" s="15"/>
      <c r="DI26" s="8"/>
      <c r="DJ26" s="8"/>
      <c r="DK26" s="11"/>
      <c r="DL26" s="11"/>
      <c r="DM26" s="11"/>
    </row>
    <row r="27" ht="11.25" customHeight="1">
      <c r="A27" s="11"/>
      <c r="B27" s="6"/>
      <c r="C27" s="11"/>
      <c r="D27" s="11"/>
      <c r="E27" s="11"/>
      <c r="F27" s="9"/>
      <c r="G27" s="9"/>
      <c r="H27" s="9"/>
      <c r="I27" s="16"/>
      <c r="J27" s="9"/>
      <c r="K27" s="9"/>
      <c r="L27" s="1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1"/>
      <c r="AL27" s="11"/>
      <c r="AM27" s="11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7"/>
      <c r="BU27" s="7"/>
      <c r="BV27" s="7"/>
      <c r="BW27" s="7"/>
      <c r="BX27" s="11"/>
      <c r="BY27" s="11"/>
      <c r="BZ27" s="11"/>
      <c r="CA27" s="7"/>
      <c r="CB27" s="7"/>
      <c r="CC27" s="7"/>
      <c r="CD27" s="7"/>
      <c r="CE27" s="7"/>
      <c r="CF27" s="7"/>
      <c r="CG27" s="8"/>
      <c r="CH27" s="7"/>
      <c r="CI27" s="7"/>
      <c r="CJ27" s="7"/>
      <c r="CK27" s="7"/>
      <c r="CL27" s="7"/>
      <c r="CM27" s="7"/>
      <c r="CN27" s="7"/>
      <c r="CO27" s="7"/>
      <c r="CP27" s="7"/>
      <c r="CQ27" s="8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8"/>
      <c r="DG27" s="8"/>
      <c r="DH27" s="15"/>
      <c r="DI27" s="8"/>
      <c r="DJ27" s="8"/>
      <c r="DK27" s="11"/>
      <c r="DL27" s="11"/>
      <c r="DM27" s="11"/>
    </row>
    <row r="28" ht="11.25" customHeight="1">
      <c r="A28" s="11"/>
      <c r="B28" s="6"/>
      <c r="C28" s="11"/>
      <c r="D28" s="11"/>
      <c r="E28" s="11"/>
      <c r="F28" s="9"/>
      <c r="G28" s="9"/>
      <c r="H28" s="9"/>
      <c r="I28" s="16"/>
      <c r="J28" s="9"/>
      <c r="K28" s="9"/>
      <c r="L28" s="1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11"/>
      <c r="AL28" s="11"/>
      <c r="AM28" s="11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7"/>
      <c r="BU28" s="7"/>
      <c r="BV28" s="7"/>
      <c r="BW28" s="7"/>
      <c r="BX28" s="11"/>
      <c r="BY28" s="11"/>
      <c r="BZ28" s="11"/>
      <c r="CA28" s="7"/>
      <c r="CB28" s="7"/>
      <c r="CC28" s="7"/>
      <c r="CD28" s="7"/>
      <c r="CE28" s="7"/>
      <c r="CF28" s="7"/>
      <c r="CG28" s="8"/>
      <c r="CH28" s="7"/>
      <c r="CI28" s="7"/>
      <c r="CJ28" s="7"/>
      <c r="CK28" s="7"/>
      <c r="CL28" s="7"/>
      <c r="CM28" s="7"/>
      <c r="CN28" s="7"/>
      <c r="CO28" s="7"/>
      <c r="CP28" s="7"/>
      <c r="CQ28" s="8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8"/>
      <c r="DG28" s="8"/>
      <c r="DH28" s="15"/>
      <c r="DI28" s="8"/>
      <c r="DJ28" s="8"/>
      <c r="DK28" s="11"/>
      <c r="DL28" s="11"/>
      <c r="DM28" s="11"/>
    </row>
    <row r="29" ht="11.25" customHeight="1">
      <c r="A29" s="11"/>
      <c r="B29" s="6"/>
      <c r="C29" s="11"/>
      <c r="D29" s="11"/>
      <c r="E29" s="11"/>
      <c r="F29" s="9"/>
      <c r="G29" s="9"/>
      <c r="H29" s="9"/>
      <c r="I29" s="16"/>
      <c r="J29" s="9"/>
      <c r="K29" s="9"/>
      <c r="L29" s="10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1"/>
      <c r="AL29" s="11"/>
      <c r="AM29" s="11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7"/>
      <c r="BU29" s="7"/>
      <c r="BV29" s="7"/>
      <c r="BW29" s="7"/>
      <c r="BX29" s="11"/>
      <c r="BY29" s="11"/>
      <c r="BZ29" s="11"/>
      <c r="CA29" s="7"/>
      <c r="CB29" s="7"/>
      <c r="CC29" s="7"/>
      <c r="CD29" s="7"/>
      <c r="CE29" s="7"/>
      <c r="CF29" s="7"/>
      <c r="CG29" s="8"/>
      <c r="CH29" s="7"/>
      <c r="CI29" s="7"/>
      <c r="CJ29" s="7"/>
      <c r="CK29" s="7"/>
      <c r="CL29" s="7"/>
      <c r="CM29" s="7"/>
      <c r="CN29" s="7"/>
      <c r="CO29" s="7"/>
      <c r="CP29" s="7"/>
      <c r="CQ29" s="8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8"/>
      <c r="DG29" s="8"/>
      <c r="DH29" s="15"/>
      <c r="DI29" s="8"/>
      <c r="DJ29" s="8"/>
      <c r="DK29" s="11"/>
      <c r="DL29" s="11"/>
      <c r="DM29" s="11"/>
    </row>
    <row r="30" ht="11.25" customHeight="1">
      <c r="A30" s="11"/>
      <c r="B30" s="6"/>
      <c r="C30" s="11"/>
      <c r="D30" s="11"/>
      <c r="E30" s="11"/>
      <c r="F30" s="9"/>
      <c r="G30" s="9"/>
      <c r="H30" s="9"/>
      <c r="I30" s="16"/>
      <c r="J30" s="9"/>
      <c r="K30" s="9"/>
      <c r="L30" s="10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1"/>
      <c r="AL30" s="11"/>
      <c r="AM30" s="11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7"/>
      <c r="BU30" s="7"/>
      <c r="BV30" s="7"/>
      <c r="BW30" s="7"/>
      <c r="BX30" s="11"/>
      <c r="BY30" s="11"/>
      <c r="BZ30" s="11"/>
      <c r="CA30" s="7"/>
      <c r="CB30" s="7"/>
      <c r="CC30" s="7"/>
      <c r="CD30" s="7"/>
      <c r="CE30" s="7"/>
      <c r="CF30" s="7"/>
      <c r="CG30" s="8"/>
      <c r="CH30" s="7"/>
      <c r="CI30" s="7"/>
      <c r="CJ30" s="7"/>
      <c r="CK30" s="7"/>
      <c r="CL30" s="7"/>
      <c r="CM30" s="7"/>
      <c r="CN30" s="7"/>
      <c r="CO30" s="7"/>
      <c r="CP30" s="7"/>
      <c r="CQ30" s="8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8"/>
      <c r="DG30" s="8"/>
      <c r="DH30" s="15"/>
      <c r="DI30" s="8"/>
      <c r="DJ30" s="8"/>
      <c r="DK30" s="11"/>
      <c r="DL30" s="11"/>
      <c r="DM30" s="11"/>
    </row>
    <row r="31" ht="11.25" customHeight="1">
      <c r="A31" s="11"/>
      <c r="B31" s="6"/>
      <c r="C31" s="11"/>
      <c r="D31" s="11"/>
      <c r="E31" s="11"/>
      <c r="F31" s="9"/>
      <c r="G31" s="9"/>
      <c r="H31" s="9"/>
      <c r="I31" s="16"/>
      <c r="J31" s="9"/>
      <c r="K31" s="9"/>
      <c r="L31" s="10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1"/>
      <c r="AL31" s="11"/>
      <c r="AM31" s="11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7"/>
      <c r="BU31" s="7"/>
      <c r="BV31" s="7"/>
      <c r="BW31" s="7"/>
      <c r="BX31" s="11"/>
      <c r="BY31" s="11"/>
      <c r="BZ31" s="11"/>
      <c r="CA31" s="7"/>
      <c r="CB31" s="7"/>
      <c r="CC31" s="7"/>
      <c r="CD31" s="7"/>
      <c r="CE31" s="7"/>
      <c r="CF31" s="7"/>
      <c r="CG31" s="8"/>
      <c r="CH31" s="7"/>
      <c r="CI31" s="7"/>
      <c r="CJ31" s="7"/>
      <c r="CK31" s="7"/>
      <c r="CL31" s="7"/>
      <c r="CM31" s="7"/>
      <c r="CN31" s="7"/>
      <c r="CO31" s="7"/>
      <c r="CP31" s="7"/>
      <c r="CQ31" s="8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8"/>
      <c r="DG31" s="8"/>
      <c r="DH31" s="15"/>
      <c r="DI31" s="8"/>
      <c r="DJ31" s="8"/>
      <c r="DK31" s="11"/>
      <c r="DL31" s="11"/>
      <c r="DM31" s="11"/>
    </row>
    <row r="32" ht="11.25" customHeight="1">
      <c r="A32" s="11"/>
      <c r="B32" s="6"/>
      <c r="C32" s="11"/>
      <c r="D32" s="11"/>
      <c r="E32" s="11"/>
      <c r="F32" s="9"/>
      <c r="G32" s="9"/>
      <c r="H32" s="9"/>
      <c r="I32" s="16"/>
      <c r="J32" s="9"/>
      <c r="K32" s="9"/>
      <c r="L32" s="10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1"/>
      <c r="AL32" s="11"/>
      <c r="AM32" s="11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7"/>
      <c r="BU32" s="7"/>
      <c r="BV32" s="7"/>
      <c r="BW32" s="7"/>
      <c r="BX32" s="11"/>
      <c r="BY32" s="11"/>
      <c r="BZ32" s="11"/>
      <c r="CA32" s="7"/>
      <c r="CB32" s="7"/>
      <c r="CC32" s="7"/>
      <c r="CD32" s="7"/>
      <c r="CE32" s="7"/>
      <c r="CF32" s="7"/>
      <c r="CG32" s="8"/>
      <c r="CH32" s="7"/>
      <c r="CI32" s="7"/>
      <c r="CJ32" s="7"/>
      <c r="CK32" s="7"/>
      <c r="CL32" s="7"/>
      <c r="CM32" s="7"/>
      <c r="CN32" s="7"/>
      <c r="CO32" s="7"/>
      <c r="CP32" s="7"/>
      <c r="CQ32" s="8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8"/>
      <c r="DG32" s="8"/>
      <c r="DH32" s="15"/>
      <c r="DI32" s="8"/>
      <c r="DJ32" s="8"/>
      <c r="DK32" s="11"/>
      <c r="DL32" s="11"/>
      <c r="DM32" s="11"/>
    </row>
    <row r="33" ht="11.25" customHeight="1">
      <c r="A33" s="11"/>
      <c r="B33" s="6"/>
      <c r="C33" s="11"/>
      <c r="D33" s="11"/>
      <c r="E33" s="11"/>
      <c r="F33" s="9"/>
      <c r="G33" s="9"/>
      <c r="H33" s="9"/>
      <c r="I33" s="16"/>
      <c r="J33" s="9"/>
      <c r="K33" s="9"/>
      <c r="L33" s="1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11"/>
      <c r="AL33" s="11"/>
      <c r="AM33" s="11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7"/>
      <c r="BU33" s="7"/>
      <c r="BV33" s="7"/>
      <c r="BW33" s="7"/>
      <c r="BX33" s="11"/>
      <c r="BY33" s="11"/>
      <c r="BZ33" s="11"/>
      <c r="CA33" s="7"/>
      <c r="CB33" s="7"/>
      <c r="CC33" s="7"/>
      <c r="CD33" s="7"/>
      <c r="CE33" s="7"/>
      <c r="CF33" s="7"/>
      <c r="CG33" s="8"/>
      <c r="CH33" s="7"/>
      <c r="CI33" s="7"/>
      <c r="CJ33" s="7"/>
      <c r="CK33" s="7"/>
      <c r="CL33" s="7"/>
      <c r="CM33" s="7"/>
      <c r="CN33" s="7"/>
      <c r="CO33" s="7"/>
      <c r="CP33" s="7"/>
      <c r="CQ33" s="8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8"/>
      <c r="DG33" s="8"/>
      <c r="DH33" s="15"/>
      <c r="DI33" s="8"/>
      <c r="DJ33" s="8"/>
      <c r="DK33" s="11"/>
      <c r="DL33" s="11"/>
      <c r="DM33" s="11"/>
    </row>
    <row r="34" ht="11.25" customHeight="1">
      <c r="A34" s="11"/>
      <c r="B34" s="6"/>
      <c r="C34" s="11"/>
      <c r="D34" s="11"/>
      <c r="E34" s="11"/>
      <c r="F34" s="9"/>
      <c r="G34" s="9"/>
      <c r="H34" s="9"/>
      <c r="I34" s="16"/>
      <c r="J34" s="9"/>
      <c r="K34" s="9"/>
      <c r="L34" s="1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1"/>
      <c r="AL34" s="11"/>
      <c r="AM34" s="11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7"/>
      <c r="BU34" s="7"/>
      <c r="BV34" s="7"/>
      <c r="BW34" s="7"/>
      <c r="BX34" s="11"/>
      <c r="BY34" s="11"/>
      <c r="BZ34" s="11"/>
      <c r="CA34" s="7"/>
      <c r="CB34" s="7"/>
      <c r="CC34" s="7"/>
      <c r="CD34" s="7"/>
      <c r="CE34" s="7"/>
      <c r="CF34" s="7"/>
      <c r="CG34" s="8"/>
      <c r="CH34" s="7"/>
      <c r="CI34" s="7"/>
      <c r="CJ34" s="7"/>
      <c r="CK34" s="7"/>
      <c r="CL34" s="7"/>
      <c r="CM34" s="7"/>
      <c r="CN34" s="7"/>
      <c r="CO34" s="7"/>
      <c r="CP34" s="7"/>
      <c r="CQ34" s="8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8"/>
      <c r="DG34" s="8"/>
      <c r="DH34" s="15"/>
      <c r="DI34" s="8"/>
      <c r="DJ34" s="8"/>
      <c r="DK34" s="11"/>
      <c r="DL34" s="11"/>
      <c r="DM34" s="11"/>
    </row>
    <row r="35" ht="11.25" customHeight="1">
      <c r="A35" s="11"/>
      <c r="B35" s="6"/>
      <c r="C35" s="11"/>
      <c r="D35" s="11"/>
      <c r="E35" s="11"/>
      <c r="F35" s="9"/>
      <c r="G35" s="9"/>
      <c r="H35" s="9"/>
      <c r="I35" s="16"/>
      <c r="J35" s="9"/>
      <c r="K35" s="9"/>
      <c r="L35" s="10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1"/>
      <c r="AL35" s="11"/>
      <c r="AM35" s="11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7"/>
      <c r="BU35" s="7"/>
      <c r="BV35" s="7"/>
      <c r="BW35" s="7"/>
      <c r="BX35" s="11"/>
      <c r="BY35" s="11"/>
      <c r="BZ35" s="11"/>
      <c r="CA35" s="7"/>
      <c r="CB35" s="7"/>
      <c r="CC35" s="7"/>
      <c r="CD35" s="7"/>
      <c r="CE35" s="7"/>
      <c r="CF35" s="7"/>
      <c r="CG35" s="8"/>
      <c r="CH35" s="7"/>
      <c r="CI35" s="7"/>
      <c r="CJ35" s="7"/>
      <c r="CK35" s="7"/>
      <c r="CL35" s="7"/>
      <c r="CM35" s="7"/>
      <c r="CN35" s="7"/>
      <c r="CO35" s="7"/>
      <c r="CP35" s="7"/>
      <c r="CQ35" s="8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8"/>
      <c r="DG35" s="8"/>
      <c r="DH35" s="15"/>
      <c r="DI35" s="8"/>
      <c r="DJ35" s="8"/>
      <c r="DK35" s="11"/>
      <c r="DL35" s="11"/>
      <c r="DM35" s="11"/>
    </row>
    <row r="36" ht="11.25" customHeight="1">
      <c r="A36" s="11"/>
      <c r="B36" s="6"/>
      <c r="C36" s="11"/>
      <c r="D36" s="11"/>
      <c r="E36" s="11"/>
      <c r="F36" s="9"/>
      <c r="G36" s="9"/>
      <c r="H36" s="9"/>
      <c r="I36" s="16"/>
      <c r="J36" s="9"/>
      <c r="K36" s="9"/>
      <c r="L36" s="1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1"/>
      <c r="AL36" s="11"/>
      <c r="AM36" s="11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7"/>
      <c r="BU36" s="7"/>
      <c r="BV36" s="7"/>
      <c r="BW36" s="7"/>
      <c r="BX36" s="11"/>
      <c r="BY36" s="11"/>
      <c r="BZ36" s="11"/>
      <c r="CA36" s="7"/>
      <c r="CB36" s="7"/>
      <c r="CC36" s="7"/>
      <c r="CD36" s="7"/>
      <c r="CE36" s="7"/>
      <c r="CF36" s="7"/>
      <c r="CG36" s="8"/>
      <c r="CH36" s="7"/>
      <c r="CI36" s="7"/>
      <c r="CJ36" s="7"/>
      <c r="CK36" s="7"/>
      <c r="CL36" s="7"/>
      <c r="CM36" s="7"/>
      <c r="CN36" s="7"/>
      <c r="CO36" s="7"/>
      <c r="CP36" s="7"/>
      <c r="CQ36" s="8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8"/>
      <c r="DG36" s="8"/>
      <c r="DH36" s="15"/>
      <c r="DI36" s="8"/>
      <c r="DJ36" s="8"/>
      <c r="DK36" s="11"/>
      <c r="DL36" s="11"/>
      <c r="DM36" s="11"/>
    </row>
    <row r="37" ht="11.25" customHeight="1">
      <c r="A37" s="11"/>
      <c r="B37" s="6"/>
      <c r="C37" s="11"/>
      <c r="D37" s="11"/>
      <c r="E37" s="11"/>
      <c r="F37" s="9"/>
      <c r="G37" s="9"/>
      <c r="H37" s="9"/>
      <c r="I37" s="16"/>
      <c r="J37" s="9"/>
      <c r="K37" s="9"/>
      <c r="L37" s="10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1"/>
      <c r="AL37" s="11"/>
      <c r="AM37" s="11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7"/>
      <c r="BU37" s="7"/>
      <c r="BV37" s="7"/>
      <c r="BW37" s="7"/>
      <c r="BX37" s="11"/>
      <c r="BY37" s="11"/>
      <c r="BZ37" s="11"/>
      <c r="CA37" s="7"/>
      <c r="CB37" s="7"/>
      <c r="CC37" s="7"/>
      <c r="CD37" s="7"/>
      <c r="CE37" s="7"/>
      <c r="CF37" s="7"/>
      <c r="CG37" s="8"/>
      <c r="CH37" s="7"/>
      <c r="CI37" s="7"/>
      <c r="CJ37" s="7"/>
      <c r="CK37" s="7"/>
      <c r="CL37" s="7"/>
      <c r="CM37" s="7"/>
      <c r="CN37" s="7"/>
      <c r="CO37" s="7"/>
      <c r="CP37" s="7"/>
      <c r="CQ37" s="8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8"/>
      <c r="DG37" s="8"/>
      <c r="DH37" s="15"/>
      <c r="DI37" s="8"/>
      <c r="DJ37" s="8"/>
      <c r="DK37" s="11"/>
      <c r="DL37" s="11"/>
      <c r="DM37" s="11"/>
    </row>
    <row r="38" ht="11.25" customHeight="1">
      <c r="A38" s="11"/>
      <c r="B38" s="6"/>
      <c r="C38" s="11"/>
      <c r="D38" s="11"/>
      <c r="E38" s="11"/>
      <c r="F38" s="9"/>
      <c r="G38" s="9"/>
      <c r="H38" s="9"/>
      <c r="I38" s="16"/>
      <c r="J38" s="9"/>
      <c r="K38" s="9"/>
      <c r="L38" s="10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11"/>
      <c r="AL38" s="11"/>
      <c r="AM38" s="11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7"/>
      <c r="BU38" s="7"/>
      <c r="BV38" s="7"/>
      <c r="BW38" s="7"/>
      <c r="BX38" s="11"/>
      <c r="BY38" s="11"/>
      <c r="BZ38" s="11"/>
      <c r="CA38" s="7"/>
      <c r="CB38" s="7"/>
      <c r="CC38" s="7"/>
      <c r="CD38" s="7"/>
      <c r="CE38" s="7"/>
      <c r="CF38" s="7"/>
      <c r="CG38" s="8"/>
      <c r="CH38" s="7"/>
      <c r="CI38" s="7"/>
      <c r="CJ38" s="7"/>
      <c r="CK38" s="7"/>
      <c r="CL38" s="7"/>
      <c r="CM38" s="7"/>
      <c r="CN38" s="7"/>
      <c r="CO38" s="7"/>
      <c r="CP38" s="7"/>
      <c r="CQ38" s="8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8"/>
      <c r="DG38" s="8"/>
      <c r="DH38" s="15"/>
      <c r="DI38" s="8"/>
      <c r="DJ38" s="8"/>
      <c r="DK38" s="11"/>
      <c r="DL38" s="11"/>
      <c r="DM38" s="11"/>
    </row>
    <row r="39" ht="11.25" customHeight="1">
      <c r="A39" s="11"/>
      <c r="B39" s="6"/>
      <c r="C39" s="11"/>
      <c r="D39" s="11"/>
      <c r="E39" s="11"/>
      <c r="F39" s="9"/>
      <c r="G39" s="9"/>
      <c r="H39" s="9"/>
      <c r="I39" s="16"/>
      <c r="J39" s="9"/>
      <c r="K39" s="9"/>
      <c r="L39" s="10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11"/>
      <c r="AL39" s="11"/>
      <c r="AM39" s="11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7"/>
      <c r="BU39" s="7"/>
      <c r="BV39" s="7"/>
      <c r="BW39" s="7"/>
      <c r="BX39" s="11"/>
      <c r="BY39" s="11"/>
      <c r="BZ39" s="11"/>
      <c r="CA39" s="7"/>
      <c r="CB39" s="7"/>
      <c r="CC39" s="7"/>
      <c r="CD39" s="7"/>
      <c r="CE39" s="7"/>
      <c r="CF39" s="7"/>
      <c r="CG39" s="8"/>
      <c r="CH39" s="7"/>
      <c r="CI39" s="7"/>
      <c r="CJ39" s="7"/>
      <c r="CK39" s="7"/>
      <c r="CL39" s="7"/>
      <c r="CM39" s="7"/>
      <c r="CN39" s="7"/>
      <c r="CO39" s="7"/>
      <c r="CP39" s="7"/>
      <c r="CQ39" s="8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8"/>
      <c r="DG39" s="8"/>
      <c r="DH39" s="15"/>
      <c r="DI39" s="8"/>
      <c r="DJ39" s="8"/>
      <c r="DK39" s="11"/>
      <c r="DL39" s="11"/>
      <c r="DM39" s="11"/>
    </row>
    <row r="40" ht="11.25" customHeight="1">
      <c r="A40" s="11"/>
      <c r="B40" s="6"/>
      <c r="C40" s="11"/>
      <c r="D40" s="11"/>
      <c r="E40" s="11"/>
      <c r="F40" s="9"/>
      <c r="G40" s="9"/>
      <c r="H40" s="9"/>
      <c r="I40" s="16"/>
      <c r="J40" s="9"/>
      <c r="K40" s="9"/>
      <c r="L40" s="10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11"/>
      <c r="AL40" s="11"/>
      <c r="AM40" s="11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7"/>
      <c r="BU40" s="7"/>
      <c r="BV40" s="7"/>
      <c r="BW40" s="7"/>
      <c r="BX40" s="11"/>
      <c r="BY40" s="11"/>
      <c r="BZ40" s="11"/>
      <c r="CA40" s="7"/>
      <c r="CB40" s="7"/>
      <c r="CC40" s="7"/>
      <c r="CD40" s="7"/>
      <c r="CE40" s="7"/>
      <c r="CF40" s="7"/>
      <c r="CG40" s="8"/>
      <c r="CH40" s="7"/>
      <c r="CI40" s="7"/>
      <c r="CJ40" s="7"/>
      <c r="CK40" s="7"/>
      <c r="CL40" s="7"/>
      <c r="CM40" s="7"/>
      <c r="CN40" s="7"/>
      <c r="CO40" s="7"/>
      <c r="CP40" s="7"/>
      <c r="CQ40" s="8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8"/>
      <c r="DG40" s="8"/>
      <c r="DH40" s="15"/>
      <c r="DI40" s="8"/>
      <c r="DJ40" s="8"/>
      <c r="DK40" s="11"/>
      <c r="DL40" s="11"/>
      <c r="DM40" s="11"/>
    </row>
    <row r="41" ht="11.25" customHeight="1">
      <c r="A41" s="11"/>
      <c r="B41" s="6"/>
      <c r="C41" s="11"/>
      <c r="D41" s="11"/>
      <c r="E41" s="11"/>
      <c r="F41" s="9"/>
      <c r="G41" s="9"/>
      <c r="H41" s="9"/>
      <c r="I41" s="16"/>
      <c r="J41" s="9"/>
      <c r="K41" s="9"/>
      <c r="L41" s="10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11"/>
      <c r="AL41" s="11"/>
      <c r="AM41" s="11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7"/>
      <c r="BU41" s="7"/>
      <c r="BV41" s="7"/>
      <c r="BW41" s="7"/>
      <c r="BX41" s="11"/>
      <c r="BY41" s="11"/>
      <c r="BZ41" s="11"/>
      <c r="CA41" s="7"/>
      <c r="CB41" s="7"/>
      <c r="CC41" s="7"/>
      <c r="CD41" s="7"/>
      <c r="CE41" s="7"/>
      <c r="CF41" s="7"/>
      <c r="CG41" s="8"/>
      <c r="CH41" s="7"/>
      <c r="CI41" s="7"/>
      <c r="CJ41" s="7"/>
      <c r="CK41" s="7"/>
      <c r="CL41" s="7"/>
      <c r="CM41" s="7"/>
      <c r="CN41" s="7"/>
      <c r="CO41" s="7"/>
      <c r="CP41" s="7"/>
      <c r="CQ41" s="8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8"/>
      <c r="DG41" s="8"/>
      <c r="DH41" s="15"/>
      <c r="DI41" s="8"/>
      <c r="DJ41" s="8"/>
      <c r="DK41" s="11"/>
      <c r="DL41" s="11"/>
      <c r="DM41" s="11"/>
    </row>
    <row r="42" ht="11.25" customHeight="1">
      <c r="A42" s="11"/>
      <c r="B42" s="6"/>
      <c r="C42" s="11"/>
      <c r="D42" s="11"/>
      <c r="E42" s="11"/>
      <c r="F42" s="9"/>
      <c r="G42" s="9"/>
      <c r="H42" s="9"/>
      <c r="I42" s="16"/>
      <c r="J42" s="9"/>
      <c r="K42" s="9"/>
      <c r="L42" s="10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11"/>
      <c r="AL42" s="11"/>
      <c r="AM42" s="11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7"/>
      <c r="BU42" s="7"/>
      <c r="BV42" s="7"/>
      <c r="BW42" s="7"/>
      <c r="BX42" s="11"/>
      <c r="BY42" s="11"/>
      <c r="BZ42" s="11"/>
      <c r="CA42" s="7"/>
      <c r="CB42" s="7"/>
      <c r="CC42" s="7"/>
      <c r="CD42" s="7"/>
      <c r="CE42" s="7"/>
      <c r="CF42" s="7"/>
      <c r="CG42" s="8"/>
      <c r="CH42" s="7"/>
      <c r="CI42" s="7"/>
      <c r="CJ42" s="7"/>
      <c r="CK42" s="7"/>
      <c r="CL42" s="7"/>
      <c r="CM42" s="7"/>
      <c r="CN42" s="7"/>
      <c r="CO42" s="7"/>
      <c r="CP42" s="7"/>
      <c r="CQ42" s="8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8"/>
      <c r="DG42" s="8"/>
      <c r="DH42" s="15"/>
      <c r="DI42" s="8"/>
      <c r="DJ42" s="8"/>
      <c r="DK42" s="11"/>
      <c r="DL42" s="11"/>
      <c r="DM42" s="11"/>
    </row>
    <row r="43" ht="11.25" customHeight="1">
      <c r="A43" s="11"/>
      <c r="B43" s="6"/>
      <c r="C43" s="11"/>
      <c r="D43" s="11"/>
      <c r="E43" s="11"/>
      <c r="F43" s="9"/>
      <c r="G43" s="9"/>
      <c r="H43" s="9"/>
      <c r="I43" s="16"/>
      <c r="J43" s="9"/>
      <c r="K43" s="9"/>
      <c r="L43" s="1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11"/>
      <c r="AL43" s="11"/>
      <c r="AM43" s="11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7"/>
      <c r="BU43" s="7"/>
      <c r="BV43" s="7"/>
      <c r="BW43" s="7"/>
      <c r="BX43" s="11"/>
      <c r="BY43" s="11"/>
      <c r="BZ43" s="11"/>
      <c r="CA43" s="7"/>
      <c r="CB43" s="7"/>
      <c r="CC43" s="7"/>
      <c r="CD43" s="7"/>
      <c r="CE43" s="7"/>
      <c r="CF43" s="7"/>
      <c r="CG43" s="8"/>
      <c r="CH43" s="7"/>
      <c r="CI43" s="7"/>
      <c r="CJ43" s="7"/>
      <c r="CK43" s="7"/>
      <c r="CL43" s="7"/>
      <c r="CM43" s="7"/>
      <c r="CN43" s="7"/>
      <c r="CO43" s="7"/>
      <c r="CP43" s="7"/>
      <c r="CQ43" s="8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8"/>
      <c r="DG43" s="8"/>
      <c r="DH43" s="15"/>
      <c r="DI43" s="8"/>
      <c r="DJ43" s="8"/>
      <c r="DK43" s="11"/>
      <c r="DL43" s="11"/>
      <c r="DM43" s="11"/>
    </row>
    <row r="44" ht="11.25" customHeight="1">
      <c r="A44" s="11"/>
      <c r="B44" s="6"/>
      <c r="C44" s="11"/>
      <c r="D44" s="11"/>
      <c r="E44" s="11"/>
      <c r="F44" s="9"/>
      <c r="G44" s="9"/>
      <c r="H44" s="9"/>
      <c r="I44" s="16"/>
      <c r="J44" s="9"/>
      <c r="K44" s="9"/>
      <c r="L44" s="10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1"/>
      <c r="AL44" s="11"/>
      <c r="AM44" s="11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7"/>
      <c r="BU44" s="7"/>
      <c r="BV44" s="7"/>
      <c r="BW44" s="7"/>
      <c r="BX44" s="11"/>
      <c r="BY44" s="11"/>
      <c r="BZ44" s="11"/>
      <c r="CA44" s="7"/>
      <c r="CB44" s="7"/>
      <c r="CC44" s="7"/>
      <c r="CD44" s="7"/>
      <c r="CE44" s="7"/>
      <c r="CF44" s="7"/>
      <c r="CG44" s="8"/>
      <c r="CH44" s="7"/>
      <c r="CI44" s="7"/>
      <c r="CJ44" s="7"/>
      <c r="CK44" s="7"/>
      <c r="CL44" s="7"/>
      <c r="CM44" s="7"/>
      <c r="CN44" s="7"/>
      <c r="CO44" s="7"/>
      <c r="CP44" s="7"/>
      <c r="CQ44" s="8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8"/>
      <c r="DG44" s="8"/>
      <c r="DH44" s="15"/>
      <c r="DI44" s="8"/>
      <c r="DJ44" s="8"/>
      <c r="DK44" s="11"/>
      <c r="DL44" s="11"/>
      <c r="DM44" s="11"/>
    </row>
    <row r="45" ht="11.25" customHeight="1">
      <c r="A45" s="11"/>
      <c r="B45" s="6"/>
      <c r="C45" s="11"/>
      <c r="D45" s="11"/>
      <c r="E45" s="11"/>
      <c r="F45" s="9"/>
      <c r="G45" s="9"/>
      <c r="H45" s="9"/>
      <c r="I45" s="16"/>
      <c r="J45" s="9"/>
      <c r="K45" s="9"/>
      <c r="L45" s="10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1"/>
      <c r="AL45" s="11"/>
      <c r="AM45" s="11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7"/>
      <c r="BU45" s="7"/>
      <c r="BV45" s="7"/>
      <c r="BW45" s="7"/>
      <c r="BX45" s="11"/>
      <c r="BY45" s="11"/>
      <c r="BZ45" s="11"/>
      <c r="CA45" s="7"/>
      <c r="CB45" s="7"/>
      <c r="CC45" s="7"/>
      <c r="CD45" s="7"/>
      <c r="CE45" s="7"/>
      <c r="CF45" s="7"/>
      <c r="CG45" s="8"/>
      <c r="CH45" s="7"/>
      <c r="CI45" s="7"/>
      <c r="CJ45" s="7"/>
      <c r="CK45" s="7"/>
      <c r="CL45" s="7"/>
      <c r="CM45" s="7"/>
      <c r="CN45" s="7"/>
      <c r="CO45" s="7"/>
      <c r="CP45" s="7"/>
      <c r="CQ45" s="8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8"/>
      <c r="DG45" s="8"/>
      <c r="DH45" s="15"/>
      <c r="DI45" s="8"/>
      <c r="DJ45" s="8"/>
      <c r="DK45" s="11"/>
      <c r="DL45" s="11"/>
      <c r="DM45" s="11"/>
    </row>
    <row r="46" ht="11.25" customHeight="1">
      <c r="A46" s="11"/>
      <c r="B46" s="6"/>
      <c r="C46" s="11"/>
      <c r="D46" s="11"/>
      <c r="E46" s="11"/>
      <c r="F46" s="9"/>
      <c r="G46" s="9"/>
      <c r="H46" s="9"/>
      <c r="I46" s="16"/>
      <c r="J46" s="9"/>
      <c r="K46" s="9"/>
      <c r="L46" s="10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1"/>
      <c r="AL46" s="11"/>
      <c r="AM46" s="11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7"/>
      <c r="BU46" s="7"/>
      <c r="BV46" s="7"/>
      <c r="BW46" s="7"/>
      <c r="BX46" s="11"/>
      <c r="BY46" s="11"/>
      <c r="BZ46" s="11"/>
      <c r="CA46" s="7"/>
      <c r="CB46" s="7"/>
      <c r="CC46" s="7"/>
      <c r="CD46" s="7"/>
      <c r="CE46" s="7"/>
      <c r="CF46" s="7"/>
      <c r="CG46" s="8"/>
      <c r="CH46" s="7"/>
      <c r="CI46" s="7"/>
      <c r="CJ46" s="7"/>
      <c r="CK46" s="7"/>
      <c r="CL46" s="7"/>
      <c r="CM46" s="7"/>
      <c r="CN46" s="7"/>
      <c r="CO46" s="7"/>
      <c r="CP46" s="7"/>
      <c r="CQ46" s="8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8"/>
      <c r="DG46" s="8"/>
      <c r="DH46" s="15"/>
      <c r="DI46" s="8"/>
      <c r="DJ46" s="8"/>
      <c r="DK46" s="11"/>
      <c r="DL46" s="11"/>
      <c r="DM46" s="11"/>
    </row>
    <row r="47" ht="11.25" customHeight="1">
      <c r="A47" s="11"/>
      <c r="B47" s="6"/>
      <c r="C47" s="11"/>
      <c r="D47" s="11"/>
      <c r="E47" s="11"/>
      <c r="F47" s="9"/>
      <c r="G47" s="9"/>
      <c r="H47" s="9"/>
      <c r="I47" s="16"/>
      <c r="J47" s="9"/>
      <c r="K47" s="9"/>
      <c r="L47" s="10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11"/>
      <c r="AL47" s="11"/>
      <c r="AM47" s="11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7"/>
      <c r="BU47" s="7"/>
      <c r="BV47" s="7"/>
      <c r="BW47" s="7"/>
      <c r="BX47" s="11"/>
      <c r="BY47" s="11"/>
      <c r="BZ47" s="11"/>
      <c r="CA47" s="7"/>
      <c r="CB47" s="7"/>
      <c r="CC47" s="7"/>
      <c r="CD47" s="7"/>
      <c r="CE47" s="7"/>
      <c r="CF47" s="7"/>
      <c r="CG47" s="8"/>
      <c r="CH47" s="7"/>
      <c r="CI47" s="7"/>
      <c r="CJ47" s="7"/>
      <c r="CK47" s="7"/>
      <c r="CL47" s="7"/>
      <c r="CM47" s="7"/>
      <c r="CN47" s="7"/>
      <c r="CO47" s="7"/>
      <c r="CP47" s="7"/>
      <c r="CQ47" s="8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8"/>
      <c r="DG47" s="8"/>
      <c r="DH47" s="15"/>
      <c r="DI47" s="8"/>
      <c r="DJ47" s="8"/>
      <c r="DK47" s="11"/>
      <c r="DL47" s="11"/>
      <c r="DM47" s="11"/>
    </row>
    <row r="48" ht="11.25" customHeight="1">
      <c r="A48" s="11"/>
      <c r="B48" s="6"/>
      <c r="C48" s="11"/>
      <c r="D48" s="11"/>
      <c r="E48" s="11"/>
      <c r="F48" s="9"/>
      <c r="G48" s="9"/>
      <c r="H48" s="9"/>
      <c r="I48" s="16"/>
      <c r="J48" s="9"/>
      <c r="K48" s="9"/>
      <c r="L48" s="10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11"/>
      <c r="AL48" s="11"/>
      <c r="AM48" s="11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7"/>
      <c r="BU48" s="7"/>
      <c r="BV48" s="7"/>
      <c r="BW48" s="7"/>
      <c r="BX48" s="11"/>
      <c r="BY48" s="11"/>
      <c r="BZ48" s="11"/>
      <c r="CA48" s="7"/>
      <c r="CB48" s="7"/>
      <c r="CC48" s="7"/>
      <c r="CD48" s="7"/>
      <c r="CE48" s="7"/>
      <c r="CF48" s="7"/>
      <c r="CG48" s="8"/>
      <c r="CH48" s="7"/>
      <c r="CI48" s="7"/>
      <c r="CJ48" s="7"/>
      <c r="CK48" s="7"/>
      <c r="CL48" s="7"/>
      <c r="CM48" s="7"/>
      <c r="CN48" s="7"/>
      <c r="CO48" s="7"/>
      <c r="CP48" s="7"/>
      <c r="CQ48" s="8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8"/>
      <c r="DG48" s="8"/>
      <c r="DH48" s="15"/>
      <c r="DI48" s="8"/>
      <c r="DJ48" s="8"/>
      <c r="DK48" s="11"/>
      <c r="DL48" s="11"/>
      <c r="DM48" s="11"/>
    </row>
    <row r="49" ht="11.25" customHeight="1">
      <c r="A49" s="11"/>
      <c r="B49" s="6"/>
      <c r="C49" s="11"/>
      <c r="D49" s="11"/>
      <c r="E49" s="11"/>
      <c r="F49" s="9"/>
      <c r="G49" s="9"/>
      <c r="H49" s="9"/>
      <c r="I49" s="16"/>
      <c r="J49" s="9"/>
      <c r="K49" s="9"/>
      <c r="L49" s="10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11"/>
      <c r="AL49" s="11"/>
      <c r="AM49" s="11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7"/>
      <c r="BU49" s="7"/>
      <c r="BV49" s="7"/>
      <c r="BW49" s="7"/>
      <c r="BX49" s="11"/>
      <c r="BY49" s="11"/>
      <c r="BZ49" s="11"/>
      <c r="CA49" s="7"/>
      <c r="CB49" s="7"/>
      <c r="CC49" s="7"/>
      <c r="CD49" s="7"/>
      <c r="CE49" s="7"/>
      <c r="CF49" s="7"/>
      <c r="CG49" s="8"/>
      <c r="CH49" s="7"/>
      <c r="CI49" s="7"/>
      <c r="CJ49" s="7"/>
      <c r="CK49" s="7"/>
      <c r="CL49" s="7"/>
      <c r="CM49" s="7"/>
      <c r="CN49" s="7"/>
      <c r="CO49" s="7"/>
      <c r="CP49" s="7"/>
      <c r="CQ49" s="8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8"/>
      <c r="DG49" s="8"/>
      <c r="DH49" s="15"/>
      <c r="DI49" s="8"/>
      <c r="DJ49" s="8"/>
      <c r="DK49" s="11"/>
      <c r="DL49" s="11"/>
      <c r="DM49" s="11"/>
    </row>
    <row r="50" ht="11.25" customHeight="1">
      <c r="A50" s="11"/>
      <c r="B50" s="6"/>
      <c r="C50" s="11"/>
      <c r="D50" s="11"/>
      <c r="E50" s="11"/>
      <c r="F50" s="9"/>
      <c r="G50" s="9"/>
      <c r="H50" s="9"/>
      <c r="I50" s="16"/>
      <c r="J50" s="9"/>
      <c r="K50" s="9"/>
      <c r="L50" s="10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11"/>
      <c r="AL50" s="11"/>
      <c r="AM50" s="11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7"/>
      <c r="BU50" s="7"/>
      <c r="BV50" s="7"/>
      <c r="BW50" s="7"/>
      <c r="BX50" s="11"/>
      <c r="BY50" s="11"/>
      <c r="BZ50" s="11"/>
      <c r="CA50" s="7"/>
      <c r="CB50" s="7"/>
      <c r="CC50" s="7"/>
      <c r="CD50" s="7"/>
      <c r="CE50" s="7"/>
      <c r="CF50" s="7"/>
      <c r="CG50" s="8"/>
      <c r="CH50" s="7"/>
      <c r="CI50" s="7"/>
      <c r="CJ50" s="7"/>
      <c r="CK50" s="7"/>
      <c r="CL50" s="7"/>
      <c r="CM50" s="7"/>
      <c r="CN50" s="7"/>
      <c r="CO50" s="7"/>
      <c r="CP50" s="7"/>
      <c r="CQ50" s="8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8"/>
      <c r="DG50" s="8"/>
      <c r="DH50" s="15"/>
      <c r="DI50" s="8"/>
      <c r="DJ50" s="8"/>
      <c r="DK50" s="11"/>
      <c r="DL50" s="11"/>
      <c r="DM50" s="11"/>
    </row>
    <row r="51" ht="11.25" customHeight="1">
      <c r="A51" s="11"/>
      <c r="B51" s="6"/>
      <c r="C51" s="11"/>
      <c r="D51" s="11"/>
      <c r="E51" s="11"/>
      <c r="F51" s="9"/>
      <c r="G51" s="9"/>
      <c r="H51" s="9"/>
      <c r="I51" s="16"/>
      <c r="J51" s="9"/>
      <c r="K51" s="9"/>
      <c r="L51" s="10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11"/>
      <c r="AL51" s="11"/>
      <c r="AM51" s="11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7"/>
      <c r="BU51" s="7"/>
      <c r="BV51" s="7"/>
      <c r="BW51" s="7"/>
      <c r="BX51" s="11"/>
      <c r="BY51" s="11"/>
      <c r="BZ51" s="11"/>
      <c r="CA51" s="7"/>
      <c r="CB51" s="7"/>
      <c r="CC51" s="7"/>
      <c r="CD51" s="7"/>
      <c r="CE51" s="7"/>
      <c r="CF51" s="7"/>
      <c r="CG51" s="8"/>
      <c r="CH51" s="7"/>
      <c r="CI51" s="7"/>
      <c r="CJ51" s="7"/>
      <c r="CK51" s="7"/>
      <c r="CL51" s="7"/>
      <c r="CM51" s="7"/>
      <c r="CN51" s="7"/>
      <c r="CO51" s="7"/>
      <c r="CP51" s="7"/>
      <c r="CQ51" s="8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8"/>
      <c r="DG51" s="8"/>
      <c r="DH51" s="15"/>
      <c r="DI51" s="8"/>
      <c r="DJ51" s="8"/>
      <c r="DK51" s="11"/>
      <c r="DL51" s="11"/>
      <c r="DM51" s="11"/>
    </row>
    <row r="52" ht="11.25" customHeight="1">
      <c r="A52" s="11"/>
      <c r="B52" s="6"/>
      <c r="C52" s="11"/>
      <c r="D52" s="11"/>
      <c r="E52" s="11"/>
      <c r="F52" s="9"/>
      <c r="G52" s="9"/>
      <c r="H52" s="9"/>
      <c r="I52" s="16"/>
      <c r="J52" s="9"/>
      <c r="K52" s="9"/>
      <c r="L52" s="10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11"/>
      <c r="AL52" s="11"/>
      <c r="AM52" s="11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7"/>
      <c r="BU52" s="7"/>
      <c r="BV52" s="7"/>
      <c r="BW52" s="7"/>
      <c r="BX52" s="11"/>
      <c r="BY52" s="11"/>
      <c r="BZ52" s="11"/>
      <c r="CA52" s="7"/>
      <c r="CB52" s="7"/>
      <c r="CC52" s="7"/>
      <c r="CD52" s="7"/>
      <c r="CE52" s="7"/>
      <c r="CF52" s="7"/>
      <c r="CG52" s="8"/>
      <c r="CH52" s="7"/>
      <c r="CI52" s="7"/>
      <c r="CJ52" s="7"/>
      <c r="CK52" s="7"/>
      <c r="CL52" s="7"/>
      <c r="CM52" s="7"/>
      <c r="CN52" s="7"/>
      <c r="CO52" s="7"/>
      <c r="CP52" s="7"/>
      <c r="CQ52" s="8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8"/>
      <c r="DG52" s="8"/>
      <c r="DH52" s="15"/>
      <c r="DI52" s="8"/>
      <c r="DJ52" s="8"/>
      <c r="DK52" s="11"/>
      <c r="DL52" s="11"/>
      <c r="DM52" s="11"/>
    </row>
    <row r="53" ht="11.25" customHeight="1">
      <c r="A53" s="11"/>
      <c r="B53" s="6"/>
      <c r="C53" s="11"/>
      <c r="D53" s="11"/>
      <c r="E53" s="11"/>
      <c r="F53" s="9"/>
      <c r="G53" s="9"/>
      <c r="H53" s="9"/>
      <c r="I53" s="16"/>
      <c r="J53" s="9"/>
      <c r="K53" s="9"/>
      <c r="L53" s="10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11"/>
      <c r="AL53" s="11"/>
      <c r="AM53" s="11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7"/>
      <c r="BU53" s="7"/>
      <c r="BV53" s="7"/>
      <c r="BW53" s="7"/>
      <c r="BX53" s="11"/>
      <c r="BY53" s="11"/>
      <c r="BZ53" s="11"/>
      <c r="CA53" s="7"/>
      <c r="CB53" s="7"/>
      <c r="CC53" s="7"/>
      <c r="CD53" s="7"/>
      <c r="CE53" s="7"/>
      <c r="CF53" s="7"/>
      <c r="CG53" s="8"/>
      <c r="CH53" s="7"/>
      <c r="CI53" s="7"/>
      <c r="CJ53" s="7"/>
      <c r="CK53" s="7"/>
      <c r="CL53" s="7"/>
      <c r="CM53" s="7"/>
      <c r="CN53" s="7"/>
      <c r="CO53" s="7"/>
      <c r="CP53" s="7"/>
      <c r="CQ53" s="8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8"/>
      <c r="DG53" s="8"/>
      <c r="DH53" s="15"/>
      <c r="DI53" s="8"/>
      <c r="DJ53" s="8"/>
      <c r="DK53" s="11"/>
      <c r="DL53" s="11"/>
      <c r="DM53" s="11"/>
    </row>
    <row r="54" ht="11.25" customHeight="1">
      <c r="A54" s="11"/>
      <c r="B54" s="6"/>
      <c r="C54" s="11"/>
      <c r="D54" s="11"/>
      <c r="E54" s="11"/>
      <c r="F54" s="9"/>
      <c r="G54" s="9"/>
      <c r="H54" s="9"/>
      <c r="I54" s="16"/>
      <c r="J54" s="9"/>
      <c r="K54" s="9"/>
      <c r="L54" s="10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11"/>
      <c r="AL54" s="11"/>
      <c r="AM54" s="11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7"/>
      <c r="BU54" s="7"/>
      <c r="BV54" s="7"/>
      <c r="BW54" s="7"/>
      <c r="BX54" s="11"/>
      <c r="BY54" s="11"/>
      <c r="BZ54" s="11"/>
      <c r="CA54" s="7"/>
      <c r="CB54" s="7"/>
      <c r="CC54" s="7"/>
      <c r="CD54" s="7"/>
      <c r="CE54" s="7"/>
      <c r="CF54" s="7"/>
      <c r="CG54" s="8"/>
      <c r="CH54" s="7"/>
      <c r="CI54" s="7"/>
      <c r="CJ54" s="7"/>
      <c r="CK54" s="7"/>
      <c r="CL54" s="7"/>
      <c r="CM54" s="7"/>
      <c r="CN54" s="7"/>
      <c r="CO54" s="7"/>
      <c r="CP54" s="7"/>
      <c r="CQ54" s="8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8"/>
      <c r="DG54" s="8"/>
      <c r="DH54" s="15"/>
      <c r="DI54" s="8"/>
      <c r="DJ54" s="8"/>
      <c r="DK54" s="11"/>
      <c r="DL54" s="11"/>
      <c r="DM54" s="11"/>
    </row>
    <row r="55" ht="11.25" customHeight="1">
      <c r="A55" s="11"/>
      <c r="B55" s="6"/>
      <c r="C55" s="11"/>
      <c r="D55" s="11"/>
      <c r="E55" s="11"/>
      <c r="F55" s="9"/>
      <c r="G55" s="9"/>
      <c r="H55" s="9"/>
      <c r="I55" s="16"/>
      <c r="J55" s="9"/>
      <c r="K55" s="9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11"/>
      <c r="AL55" s="11"/>
      <c r="AM55" s="11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7"/>
      <c r="BU55" s="7"/>
      <c r="BV55" s="7"/>
      <c r="BW55" s="7"/>
      <c r="BX55" s="11"/>
      <c r="BY55" s="11"/>
      <c r="BZ55" s="11"/>
      <c r="CA55" s="7"/>
      <c r="CB55" s="7"/>
      <c r="CC55" s="7"/>
      <c r="CD55" s="7"/>
      <c r="CE55" s="7"/>
      <c r="CF55" s="7"/>
      <c r="CG55" s="8"/>
      <c r="CH55" s="7"/>
      <c r="CI55" s="7"/>
      <c r="CJ55" s="7"/>
      <c r="CK55" s="7"/>
      <c r="CL55" s="7"/>
      <c r="CM55" s="7"/>
      <c r="CN55" s="7"/>
      <c r="CO55" s="7"/>
      <c r="CP55" s="7"/>
      <c r="CQ55" s="8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8"/>
      <c r="DG55" s="8"/>
      <c r="DH55" s="15"/>
      <c r="DI55" s="8"/>
      <c r="DJ55" s="8"/>
      <c r="DK55" s="11"/>
      <c r="DL55" s="11"/>
      <c r="DM55" s="11"/>
    </row>
    <row r="56" ht="11.25" customHeight="1">
      <c r="A56" s="11"/>
      <c r="B56" s="6"/>
      <c r="C56" s="11"/>
      <c r="D56" s="11"/>
      <c r="E56" s="11"/>
      <c r="F56" s="9"/>
      <c r="G56" s="9"/>
      <c r="H56" s="9"/>
      <c r="I56" s="16"/>
      <c r="J56" s="9"/>
      <c r="K56" s="9"/>
      <c r="L56" s="10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11"/>
      <c r="AL56" s="11"/>
      <c r="AM56" s="11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7"/>
      <c r="BU56" s="7"/>
      <c r="BV56" s="7"/>
      <c r="BW56" s="7"/>
      <c r="BX56" s="11"/>
      <c r="BY56" s="11"/>
      <c r="BZ56" s="11"/>
      <c r="CA56" s="7"/>
      <c r="CB56" s="7"/>
      <c r="CC56" s="7"/>
      <c r="CD56" s="7"/>
      <c r="CE56" s="7"/>
      <c r="CF56" s="7"/>
      <c r="CG56" s="8"/>
      <c r="CH56" s="7"/>
      <c r="CI56" s="7"/>
      <c r="CJ56" s="7"/>
      <c r="CK56" s="7"/>
      <c r="CL56" s="7"/>
      <c r="CM56" s="7"/>
      <c r="CN56" s="7"/>
      <c r="CO56" s="7"/>
      <c r="CP56" s="7"/>
      <c r="CQ56" s="8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8"/>
      <c r="DG56" s="8"/>
      <c r="DH56" s="15"/>
      <c r="DI56" s="8"/>
      <c r="DJ56" s="8"/>
      <c r="DK56" s="11"/>
      <c r="DL56" s="11"/>
      <c r="DM56" s="11"/>
    </row>
    <row r="57" ht="11.25" customHeight="1">
      <c r="A57" s="11"/>
      <c r="B57" s="6"/>
      <c r="C57" s="11"/>
      <c r="D57" s="11"/>
      <c r="E57" s="11"/>
      <c r="F57" s="9"/>
      <c r="G57" s="9"/>
      <c r="H57" s="9"/>
      <c r="I57" s="16"/>
      <c r="J57" s="9"/>
      <c r="K57" s="9"/>
      <c r="L57" s="1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11"/>
      <c r="AL57" s="11"/>
      <c r="AM57" s="11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7"/>
      <c r="BU57" s="7"/>
      <c r="BV57" s="7"/>
      <c r="BW57" s="7"/>
      <c r="BX57" s="11"/>
      <c r="BY57" s="11"/>
      <c r="BZ57" s="11"/>
      <c r="CA57" s="7"/>
      <c r="CB57" s="7"/>
      <c r="CC57" s="7"/>
      <c r="CD57" s="7"/>
      <c r="CE57" s="7"/>
      <c r="CF57" s="7"/>
      <c r="CG57" s="8"/>
      <c r="CH57" s="7"/>
      <c r="CI57" s="7"/>
      <c r="CJ57" s="7"/>
      <c r="CK57" s="7"/>
      <c r="CL57" s="7"/>
      <c r="CM57" s="7"/>
      <c r="CN57" s="7"/>
      <c r="CO57" s="7"/>
      <c r="CP57" s="7"/>
      <c r="CQ57" s="8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8"/>
      <c r="DG57" s="8"/>
      <c r="DH57" s="15"/>
      <c r="DI57" s="8"/>
      <c r="DJ57" s="8"/>
      <c r="DK57" s="11"/>
      <c r="DL57" s="11"/>
      <c r="DM57" s="11"/>
    </row>
    <row r="58" ht="11.25" customHeight="1">
      <c r="A58" s="11"/>
      <c r="B58" s="6"/>
      <c r="C58" s="11"/>
      <c r="D58" s="11"/>
      <c r="E58" s="11"/>
      <c r="F58" s="9"/>
      <c r="G58" s="9"/>
      <c r="H58" s="9"/>
      <c r="I58" s="16"/>
      <c r="J58" s="9"/>
      <c r="K58" s="9"/>
      <c r="L58" s="10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11"/>
      <c r="AL58" s="11"/>
      <c r="AM58" s="11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7"/>
      <c r="BU58" s="7"/>
      <c r="BV58" s="7"/>
      <c r="BW58" s="7"/>
      <c r="BX58" s="11"/>
      <c r="BY58" s="11"/>
      <c r="BZ58" s="11"/>
      <c r="CA58" s="7"/>
      <c r="CB58" s="7"/>
      <c r="CC58" s="7"/>
      <c r="CD58" s="7"/>
      <c r="CE58" s="7"/>
      <c r="CF58" s="7"/>
      <c r="CG58" s="8"/>
      <c r="CH58" s="7"/>
      <c r="CI58" s="7"/>
      <c r="CJ58" s="7"/>
      <c r="CK58" s="7"/>
      <c r="CL58" s="7"/>
      <c r="CM58" s="7"/>
      <c r="CN58" s="7"/>
      <c r="CO58" s="7"/>
      <c r="CP58" s="7"/>
      <c r="CQ58" s="8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8"/>
      <c r="DG58" s="8"/>
      <c r="DH58" s="15"/>
      <c r="DI58" s="8"/>
      <c r="DJ58" s="8"/>
      <c r="DK58" s="11"/>
      <c r="DL58" s="11"/>
      <c r="DM58" s="11"/>
    </row>
    <row r="59" ht="11.25" customHeight="1">
      <c r="A59" s="11"/>
      <c r="B59" s="6"/>
      <c r="C59" s="11"/>
      <c r="D59" s="11"/>
      <c r="E59" s="11"/>
      <c r="F59" s="9"/>
      <c r="G59" s="9"/>
      <c r="H59" s="9"/>
      <c r="I59" s="16"/>
      <c r="J59" s="9"/>
      <c r="K59" s="9"/>
      <c r="L59" s="10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11"/>
      <c r="AL59" s="11"/>
      <c r="AM59" s="11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7"/>
      <c r="BU59" s="7"/>
      <c r="BV59" s="7"/>
      <c r="BW59" s="7"/>
      <c r="BX59" s="11"/>
      <c r="BY59" s="11"/>
      <c r="BZ59" s="11"/>
      <c r="CA59" s="7"/>
      <c r="CB59" s="7"/>
      <c r="CC59" s="7"/>
      <c r="CD59" s="7"/>
      <c r="CE59" s="7"/>
      <c r="CF59" s="7"/>
      <c r="CG59" s="8"/>
      <c r="CH59" s="7"/>
      <c r="CI59" s="7"/>
      <c r="CJ59" s="7"/>
      <c r="CK59" s="7"/>
      <c r="CL59" s="7"/>
      <c r="CM59" s="7"/>
      <c r="CN59" s="7"/>
      <c r="CO59" s="7"/>
      <c r="CP59" s="7"/>
      <c r="CQ59" s="8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8"/>
      <c r="DG59" s="8"/>
      <c r="DH59" s="15"/>
      <c r="DI59" s="8"/>
      <c r="DJ59" s="8"/>
      <c r="DK59" s="11"/>
      <c r="DL59" s="11"/>
      <c r="DM59" s="11"/>
    </row>
    <row r="60" ht="11.25" customHeight="1">
      <c r="A60" s="11"/>
      <c r="B60" s="6"/>
      <c r="C60" s="11"/>
      <c r="D60" s="11"/>
      <c r="E60" s="11"/>
      <c r="F60" s="9"/>
      <c r="G60" s="9"/>
      <c r="H60" s="9"/>
      <c r="I60" s="16"/>
      <c r="J60" s="9"/>
      <c r="K60" s="9"/>
      <c r="L60" s="10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11"/>
      <c r="AL60" s="11"/>
      <c r="AM60" s="11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7"/>
      <c r="BU60" s="7"/>
      <c r="BV60" s="7"/>
      <c r="BW60" s="7"/>
      <c r="BX60" s="11"/>
      <c r="BY60" s="11"/>
      <c r="BZ60" s="11"/>
      <c r="CA60" s="7"/>
      <c r="CB60" s="7"/>
      <c r="CC60" s="7"/>
      <c r="CD60" s="7"/>
      <c r="CE60" s="7"/>
      <c r="CF60" s="7"/>
      <c r="CG60" s="8"/>
      <c r="CH60" s="7"/>
      <c r="CI60" s="7"/>
      <c r="CJ60" s="7"/>
      <c r="CK60" s="7"/>
      <c r="CL60" s="7"/>
      <c r="CM60" s="7"/>
      <c r="CN60" s="7"/>
      <c r="CO60" s="7"/>
      <c r="CP60" s="7"/>
      <c r="CQ60" s="8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8"/>
      <c r="DG60" s="8"/>
      <c r="DH60" s="15"/>
      <c r="DI60" s="8"/>
      <c r="DJ60" s="8"/>
      <c r="DK60" s="11"/>
      <c r="DL60" s="11"/>
      <c r="DM60" s="11"/>
    </row>
    <row r="61" ht="11.25" customHeight="1">
      <c r="A61" s="11"/>
      <c r="B61" s="6"/>
      <c r="C61" s="11"/>
      <c r="D61" s="11"/>
      <c r="E61" s="11"/>
      <c r="F61" s="9"/>
      <c r="G61" s="9"/>
      <c r="H61" s="9"/>
      <c r="I61" s="16"/>
      <c r="J61" s="9"/>
      <c r="K61" s="9"/>
      <c r="L61" s="1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11"/>
      <c r="AL61" s="11"/>
      <c r="AM61" s="11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7"/>
      <c r="BU61" s="7"/>
      <c r="BV61" s="7"/>
      <c r="BW61" s="7"/>
      <c r="BX61" s="11"/>
      <c r="BY61" s="11"/>
      <c r="BZ61" s="11"/>
      <c r="CA61" s="7"/>
      <c r="CB61" s="7"/>
      <c r="CC61" s="7"/>
      <c r="CD61" s="7"/>
      <c r="CE61" s="7"/>
      <c r="CF61" s="7"/>
      <c r="CG61" s="8"/>
      <c r="CH61" s="7"/>
      <c r="CI61" s="7"/>
      <c r="CJ61" s="7"/>
      <c r="CK61" s="7"/>
      <c r="CL61" s="7"/>
      <c r="CM61" s="7"/>
      <c r="CN61" s="7"/>
      <c r="CO61" s="7"/>
      <c r="CP61" s="7"/>
      <c r="CQ61" s="8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8"/>
      <c r="DG61" s="8"/>
      <c r="DH61" s="15"/>
      <c r="DI61" s="8"/>
      <c r="DJ61" s="8"/>
      <c r="DK61" s="11"/>
      <c r="DL61" s="11"/>
      <c r="DM61" s="11"/>
    </row>
    <row r="62" ht="11.25" customHeight="1">
      <c r="A62" s="11"/>
      <c r="B62" s="6"/>
      <c r="C62" s="11"/>
      <c r="D62" s="11"/>
      <c r="E62" s="11"/>
      <c r="F62" s="9"/>
      <c r="G62" s="9"/>
      <c r="H62" s="9"/>
      <c r="I62" s="16"/>
      <c r="J62" s="9"/>
      <c r="K62" s="9"/>
      <c r="L62" s="10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11"/>
      <c r="AL62" s="11"/>
      <c r="AM62" s="11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7"/>
      <c r="BU62" s="7"/>
      <c r="BV62" s="7"/>
      <c r="BW62" s="7"/>
      <c r="BX62" s="11"/>
      <c r="BY62" s="11"/>
      <c r="BZ62" s="11"/>
      <c r="CA62" s="7"/>
      <c r="CB62" s="7"/>
      <c r="CC62" s="7"/>
      <c r="CD62" s="7"/>
      <c r="CE62" s="7"/>
      <c r="CF62" s="7"/>
      <c r="CG62" s="8"/>
      <c r="CH62" s="7"/>
      <c r="CI62" s="7"/>
      <c r="CJ62" s="7"/>
      <c r="CK62" s="7"/>
      <c r="CL62" s="7"/>
      <c r="CM62" s="7"/>
      <c r="CN62" s="7"/>
      <c r="CO62" s="7"/>
      <c r="CP62" s="7"/>
      <c r="CQ62" s="8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8"/>
      <c r="DG62" s="8"/>
      <c r="DH62" s="15"/>
      <c r="DI62" s="8"/>
      <c r="DJ62" s="8"/>
      <c r="DK62" s="11"/>
      <c r="DL62" s="11"/>
      <c r="DM62" s="11"/>
    </row>
    <row r="63" ht="11.25" customHeight="1">
      <c r="A63" s="11"/>
      <c r="B63" s="6"/>
      <c r="C63" s="11"/>
      <c r="D63" s="11"/>
      <c r="E63" s="11"/>
      <c r="F63" s="9"/>
      <c r="G63" s="9"/>
      <c r="H63" s="9"/>
      <c r="I63" s="16"/>
      <c r="J63" s="9"/>
      <c r="K63" s="9"/>
      <c r="L63" s="1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11"/>
      <c r="AL63" s="11"/>
      <c r="AM63" s="11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7"/>
      <c r="BU63" s="7"/>
      <c r="BV63" s="7"/>
      <c r="BW63" s="7"/>
      <c r="BX63" s="11"/>
      <c r="BY63" s="11"/>
      <c r="BZ63" s="11"/>
      <c r="CA63" s="7"/>
      <c r="CB63" s="7"/>
      <c r="CC63" s="7"/>
      <c r="CD63" s="7"/>
      <c r="CE63" s="7"/>
      <c r="CF63" s="7"/>
      <c r="CG63" s="8"/>
      <c r="CH63" s="7"/>
      <c r="CI63" s="7"/>
      <c r="CJ63" s="7"/>
      <c r="CK63" s="7"/>
      <c r="CL63" s="7"/>
      <c r="CM63" s="7"/>
      <c r="CN63" s="7"/>
      <c r="CO63" s="7"/>
      <c r="CP63" s="7"/>
      <c r="CQ63" s="8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8"/>
      <c r="DG63" s="8"/>
      <c r="DH63" s="15"/>
      <c r="DI63" s="8"/>
      <c r="DJ63" s="8"/>
      <c r="DK63" s="11"/>
      <c r="DL63" s="11"/>
      <c r="DM63" s="11"/>
    </row>
    <row r="64" ht="11.25" customHeight="1">
      <c r="A64" s="11"/>
      <c r="B64" s="6"/>
      <c r="C64" s="11"/>
      <c r="D64" s="11"/>
      <c r="E64" s="11"/>
      <c r="F64" s="9"/>
      <c r="G64" s="9"/>
      <c r="H64" s="9"/>
      <c r="I64" s="16"/>
      <c r="J64" s="9"/>
      <c r="K64" s="9"/>
      <c r="L64" s="10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1"/>
      <c r="AL64" s="11"/>
      <c r="AM64" s="11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7"/>
      <c r="BU64" s="7"/>
      <c r="BV64" s="7"/>
      <c r="BW64" s="7"/>
      <c r="BX64" s="11"/>
      <c r="BY64" s="11"/>
      <c r="BZ64" s="11"/>
      <c r="CA64" s="7"/>
      <c r="CB64" s="7"/>
      <c r="CC64" s="7"/>
      <c r="CD64" s="7"/>
      <c r="CE64" s="7"/>
      <c r="CF64" s="7"/>
      <c r="CG64" s="8"/>
      <c r="CH64" s="7"/>
      <c r="CI64" s="7"/>
      <c r="CJ64" s="7"/>
      <c r="CK64" s="7"/>
      <c r="CL64" s="7"/>
      <c r="CM64" s="7"/>
      <c r="CN64" s="7"/>
      <c r="CO64" s="7"/>
      <c r="CP64" s="7"/>
      <c r="CQ64" s="8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8"/>
      <c r="DG64" s="8"/>
      <c r="DH64" s="15"/>
      <c r="DI64" s="8"/>
      <c r="DJ64" s="8"/>
      <c r="DK64" s="11"/>
      <c r="DL64" s="11"/>
      <c r="DM64" s="11"/>
    </row>
    <row r="65" ht="11.25" customHeight="1">
      <c r="A65" s="11"/>
      <c r="B65" s="6"/>
      <c r="C65" s="11"/>
      <c r="D65" s="11"/>
      <c r="E65" s="11"/>
      <c r="F65" s="9"/>
      <c r="G65" s="9"/>
      <c r="H65" s="9"/>
      <c r="I65" s="16"/>
      <c r="J65" s="9"/>
      <c r="K65" s="9"/>
      <c r="L65" s="10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1"/>
      <c r="AL65" s="11"/>
      <c r="AM65" s="11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7"/>
      <c r="BU65" s="7"/>
      <c r="BV65" s="7"/>
      <c r="BW65" s="7"/>
      <c r="BX65" s="11"/>
      <c r="BY65" s="11"/>
      <c r="BZ65" s="11"/>
      <c r="CA65" s="7"/>
      <c r="CB65" s="7"/>
      <c r="CC65" s="7"/>
      <c r="CD65" s="7"/>
      <c r="CE65" s="7"/>
      <c r="CF65" s="7"/>
      <c r="CG65" s="8"/>
      <c r="CH65" s="7"/>
      <c r="CI65" s="7"/>
      <c r="CJ65" s="7"/>
      <c r="CK65" s="7"/>
      <c r="CL65" s="7"/>
      <c r="CM65" s="7"/>
      <c r="CN65" s="7"/>
      <c r="CO65" s="7"/>
      <c r="CP65" s="7"/>
      <c r="CQ65" s="8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8"/>
      <c r="DG65" s="8"/>
      <c r="DH65" s="15"/>
      <c r="DI65" s="8"/>
      <c r="DJ65" s="8"/>
      <c r="DK65" s="11"/>
      <c r="DL65" s="11"/>
      <c r="DM65" s="11"/>
    </row>
    <row r="66" ht="11.25" customHeight="1">
      <c r="A66" s="11"/>
      <c r="B66" s="6"/>
      <c r="C66" s="11"/>
      <c r="D66" s="11"/>
      <c r="E66" s="11"/>
      <c r="F66" s="9"/>
      <c r="G66" s="9"/>
      <c r="H66" s="9"/>
      <c r="I66" s="16"/>
      <c r="J66" s="9"/>
      <c r="K66" s="9"/>
      <c r="L66" s="1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1"/>
      <c r="AL66" s="11"/>
      <c r="AM66" s="11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7"/>
      <c r="BU66" s="7"/>
      <c r="BV66" s="7"/>
      <c r="BW66" s="7"/>
      <c r="BX66" s="11"/>
      <c r="BY66" s="11"/>
      <c r="BZ66" s="11"/>
      <c r="CA66" s="7"/>
      <c r="CB66" s="7"/>
      <c r="CC66" s="7"/>
      <c r="CD66" s="7"/>
      <c r="CE66" s="7"/>
      <c r="CF66" s="7"/>
      <c r="CG66" s="8"/>
      <c r="CH66" s="7"/>
      <c r="CI66" s="7"/>
      <c r="CJ66" s="7"/>
      <c r="CK66" s="7"/>
      <c r="CL66" s="7"/>
      <c r="CM66" s="7"/>
      <c r="CN66" s="7"/>
      <c r="CO66" s="7"/>
      <c r="CP66" s="7"/>
      <c r="CQ66" s="8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8"/>
      <c r="DG66" s="8"/>
      <c r="DH66" s="15"/>
      <c r="DI66" s="8"/>
      <c r="DJ66" s="8"/>
      <c r="DK66" s="11"/>
      <c r="DL66" s="11"/>
      <c r="DM66" s="11"/>
    </row>
    <row r="67" ht="11.25" customHeight="1">
      <c r="A67" s="11"/>
      <c r="B67" s="6"/>
      <c r="C67" s="11"/>
      <c r="D67" s="11"/>
      <c r="E67" s="11"/>
      <c r="F67" s="9"/>
      <c r="G67" s="9"/>
      <c r="H67" s="9"/>
      <c r="I67" s="16"/>
      <c r="J67" s="9"/>
      <c r="K67" s="9"/>
      <c r="L67" s="1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1"/>
      <c r="AL67" s="11"/>
      <c r="AM67" s="11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7"/>
      <c r="BU67" s="7"/>
      <c r="BV67" s="7"/>
      <c r="BW67" s="7"/>
      <c r="BX67" s="11"/>
      <c r="BY67" s="11"/>
      <c r="BZ67" s="11"/>
      <c r="CA67" s="7"/>
      <c r="CB67" s="7"/>
      <c r="CC67" s="7"/>
      <c r="CD67" s="7"/>
      <c r="CE67" s="7"/>
      <c r="CF67" s="7"/>
      <c r="CG67" s="8"/>
      <c r="CH67" s="7"/>
      <c r="CI67" s="7"/>
      <c r="CJ67" s="7"/>
      <c r="CK67" s="7"/>
      <c r="CL67" s="7"/>
      <c r="CM67" s="7"/>
      <c r="CN67" s="7"/>
      <c r="CO67" s="7"/>
      <c r="CP67" s="7"/>
      <c r="CQ67" s="8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8"/>
      <c r="DG67" s="8"/>
      <c r="DH67" s="15"/>
      <c r="DI67" s="8"/>
      <c r="DJ67" s="8"/>
      <c r="DK67" s="11"/>
      <c r="DL67" s="11"/>
      <c r="DM67" s="11"/>
    </row>
    <row r="68" ht="11.25" customHeight="1">
      <c r="A68" s="11"/>
      <c r="B68" s="6"/>
      <c r="C68" s="11"/>
      <c r="D68" s="11"/>
      <c r="E68" s="11"/>
      <c r="F68" s="9"/>
      <c r="G68" s="9"/>
      <c r="H68" s="9"/>
      <c r="I68" s="16"/>
      <c r="J68" s="9"/>
      <c r="K68" s="9"/>
      <c r="L68" s="10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1"/>
      <c r="AL68" s="11"/>
      <c r="AM68" s="11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7"/>
      <c r="BU68" s="7"/>
      <c r="BV68" s="7"/>
      <c r="BW68" s="7"/>
      <c r="BX68" s="11"/>
      <c r="BY68" s="11"/>
      <c r="BZ68" s="11"/>
      <c r="CA68" s="7"/>
      <c r="CB68" s="7"/>
      <c r="CC68" s="7"/>
      <c r="CD68" s="7"/>
      <c r="CE68" s="7"/>
      <c r="CF68" s="7"/>
      <c r="CG68" s="8"/>
      <c r="CH68" s="7"/>
      <c r="CI68" s="7"/>
      <c r="CJ68" s="7"/>
      <c r="CK68" s="7"/>
      <c r="CL68" s="7"/>
      <c r="CM68" s="7"/>
      <c r="CN68" s="7"/>
      <c r="CO68" s="7"/>
      <c r="CP68" s="7"/>
      <c r="CQ68" s="8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8"/>
      <c r="DG68" s="8"/>
      <c r="DH68" s="15"/>
      <c r="DI68" s="8"/>
      <c r="DJ68" s="8"/>
      <c r="DK68" s="11"/>
      <c r="DL68" s="11"/>
      <c r="DM68" s="11"/>
    </row>
    <row r="69" ht="11.25" customHeight="1">
      <c r="A69" s="11"/>
      <c r="B69" s="6"/>
      <c r="C69" s="11"/>
      <c r="D69" s="11"/>
      <c r="E69" s="11"/>
      <c r="F69" s="9"/>
      <c r="G69" s="9"/>
      <c r="H69" s="9"/>
      <c r="I69" s="16"/>
      <c r="J69" s="9"/>
      <c r="K69" s="9"/>
      <c r="L69" s="10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1"/>
      <c r="AL69" s="11"/>
      <c r="AM69" s="11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7"/>
      <c r="BU69" s="7"/>
      <c r="BV69" s="7"/>
      <c r="BW69" s="7"/>
      <c r="BX69" s="11"/>
      <c r="BY69" s="11"/>
      <c r="BZ69" s="11"/>
      <c r="CA69" s="7"/>
      <c r="CB69" s="7"/>
      <c r="CC69" s="7"/>
      <c r="CD69" s="7"/>
      <c r="CE69" s="7"/>
      <c r="CF69" s="7"/>
      <c r="CG69" s="8"/>
      <c r="CH69" s="7"/>
      <c r="CI69" s="7"/>
      <c r="CJ69" s="7"/>
      <c r="CK69" s="7"/>
      <c r="CL69" s="7"/>
      <c r="CM69" s="7"/>
      <c r="CN69" s="7"/>
      <c r="CO69" s="7"/>
      <c r="CP69" s="7"/>
      <c r="CQ69" s="8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8"/>
      <c r="DG69" s="8"/>
      <c r="DH69" s="15"/>
      <c r="DI69" s="8"/>
      <c r="DJ69" s="8"/>
      <c r="DK69" s="11"/>
      <c r="DL69" s="11"/>
      <c r="DM69" s="11"/>
    </row>
    <row r="70" ht="11.25" customHeight="1">
      <c r="A70" s="11"/>
      <c r="B70" s="6"/>
      <c r="C70" s="11"/>
      <c r="D70" s="11"/>
      <c r="E70" s="11"/>
      <c r="F70" s="9"/>
      <c r="G70" s="9"/>
      <c r="H70" s="9"/>
      <c r="I70" s="16"/>
      <c r="J70" s="9"/>
      <c r="K70" s="9"/>
      <c r="L70" s="10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11"/>
      <c r="AL70" s="11"/>
      <c r="AM70" s="11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7"/>
      <c r="BU70" s="7"/>
      <c r="BV70" s="7"/>
      <c r="BW70" s="7"/>
      <c r="BX70" s="11"/>
      <c r="BY70" s="11"/>
      <c r="BZ70" s="11"/>
      <c r="CA70" s="7"/>
      <c r="CB70" s="7"/>
      <c r="CC70" s="7"/>
      <c r="CD70" s="7"/>
      <c r="CE70" s="7"/>
      <c r="CF70" s="7"/>
      <c r="CG70" s="8"/>
      <c r="CH70" s="7"/>
      <c r="CI70" s="7"/>
      <c r="CJ70" s="7"/>
      <c r="CK70" s="7"/>
      <c r="CL70" s="7"/>
      <c r="CM70" s="7"/>
      <c r="CN70" s="7"/>
      <c r="CO70" s="7"/>
      <c r="CP70" s="7"/>
      <c r="CQ70" s="8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8"/>
      <c r="DG70" s="8"/>
      <c r="DH70" s="15"/>
      <c r="DI70" s="8"/>
      <c r="DJ70" s="8"/>
      <c r="DK70" s="11"/>
      <c r="DL70" s="11"/>
      <c r="DM70" s="11"/>
    </row>
    <row r="71" ht="11.25" customHeight="1">
      <c r="A71" s="11"/>
      <c r="B71" s="6"/>
      <c r="C71" s="11"/>
      <c r="D71" s="11"/>
      <c r="E71" s="11"/>
      <c r="F71" s="9"/>
      <c r="G71" s="9"/>
      <c r="H71" s="9"/>
      <c r="I71" s="16"/>
      <c r="J71" s="9"/>
      <c r="K71" s="9"/>
      <c r="L71" s="10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1"/>
      <c r="AL71" s="11"/>
      <c r="AM71" s="11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7"/>
      <c r="BU71" s="7"/>
      <c r="BV71" s="7"/>
      <c r="BW71" s="7"/>
      <c r="BX71" s="11"/>
      <c r="BY71" s="11"/>
      <c r="BZ71" s="11"/>
      <c r="CA71" s="7"/>
      <c r="CB71" s="7"/>
      <c r="CC71" s="7"/>
      <c r="CD71" s="7"/>
      <c r="CE71" s="7"/>
      <c r="CF71" s="7"/>
      <c r="CG71" s="8"/>
      <c r="CH71" s="7"/>
      <c r="CI71" s="7"/>
      <c r="CJ71" s="7"/>
      <c r="CK71" s="7"/>
      <c r="CL71" s="7"/>
      <c r="CM71" s="7"/>
      <c r="CN71" s="7"/>
      <c r="CO71" s="7"/>
      <c r="CP71" s="7"/>
      <c r="CQ71" s="8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8"/>
      <c r="DG71" s="8"/>
      <c r="DH71" s="15"/>
      <c r="DI71" s="8"/>
      <c r="DJ71" s="8"/>
      <c r="DK71" s="11"/>
      <c r="DL71" s="11"/>
      <c r="DM71" s="11"/>
    </row>
    <row r="72" ht="11.25" customHeight="1">
      <c r="A72" s="11"/>
      <c r="B72" s="6"/>
      <c r="C72" s="11"/>
      <c r="D72" s="11"/>
      <c r="E72" s="11"/>
      <c r="F72" s="9"/>
      <c r="G72" s="9"/>
      <c r="H72" s="9"/>
      <c r="I72" s="16"/>
      <c r="J72" s="9"/>
      <c r="K72" s="9"/>
      <c r="L72" s="10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1"/>
      <c r="AL72" s="11"/>
      <c r="AM72" s="11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7"/>
      <c r="BU72" s="7"/>
      <c r="BV72" s="7"/>
      <c r="BW72" s="7"/>
      <c r="BX72" s="11"/>
      <c r="BY72" s="11"/>
      <c r="BZ72" s="11"/>
      <c r="CA72" s="7"/>
      <c r="CB72" s="7"/>
      <c r="CC72" s="7"/>
      <c r="CD72" s="7"/>
      <c r="CE72" s="7"/>
      <c r="CF72" s="7"/>
      <c r="CG72" s="8"/>
      <c r="CH72" s="7"/>
      <c r="CI72" s="7"/>
      <c r="CJ72" s="7"/>
      <c r="CK72" s="7"/>
      <c r="CL72" s="7"/>
      <c r="CM72" s="7"/>
      <c r="CN72" s="7"/>
      <c r="CO72" s="7"/>
      <c r="CP72" s="7"/>
      <c r="CQ72" s="8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8"/>
      <c r="DG72" s="8"/>
      <c r="DH72" s="15"/>
      <c r="DI72" s="8"/>
      <c r="DJ72" s="8"/>
      <c r="DK72" s="11"/>
      <c r="DL72" s="11"/>
      <c r="DM72" s="11"/>
    </row>
    <row r="73" ht="11.25" customHeight="1">
      <c r="A73" s="11"/>
      <c r="B73" s="6"/>
      <c r="C73" s="11"/>
      <c r="D73" s="11"/>
      <c r="E73" s="11"/>
      <c r="F73" s="9"/>
      <c r="G73" s="9"/>
      <c r="H73" s="9"/>
      <c r="I73" s="16"/>
      <c r="J73" s="9"/>
      <c r="K73" s="9"/>
      <c r="L73" s="1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1"/>
      <c r="AL73" s="11"/>
      <c r="AM73" s="11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7"/>
      <c r="BU73" s="7"/>
      <c r="BV73" s="7"/>
      <c r="BW73" s="7"/>
      <c r="BX73" s="11"/>
      <c r="BY73" s="11"/>
      <c r="BZ73" s="11"/>
      <c r="CA73" s="7"/>
      <c r="CB73" s="7"/>
      <c r="CC73" s="7"/>
      <c r="CD73" s="7"/>
      <c r="CE73" s="7"/>
      <c r="CF73" s="7"/>
      <c r="CG73" s="8"/>
      <c r="CH73" s="7"/>
      <c r="CI73" s="7"/>
      <c r="CJ73" s="7"/>
      <c r="CK73" s="7"/>
      <c r="CL73" s="7"/>
      <c r="CM73" s="7"/>
      <c r="CN73" s="7"/>
      <c r="CO73" s="7"/>
      <c r="CP73" s="7"/>
      <c r="CQ73" s="8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8"/>
      <c r="DG73" s="8"/>
      <c r="DH73" s="15"/>
      <c r="DI73" s="8"/>
      <c r="DJ73" s="8"/>
      <c r="DK73" s="11"/>
      <c r="DL73" s="11"/>
      <c r="DM73" s="11"/>
    </row>
    <row r="74" ht="11.25" customHeight="1">
      <c r="A74" s="11"/>
      <c r="B74" s="6"/>
      <c r="C74" s="11"/>
      <c r="D74" s="11"/>
      <c r="E74" s="11"/>
      <c r="F74" s="9"/>
      <c r="G74" s="9"/>
      <c r="H74" s="9"/>
      <c r="I74" s="16"/>
      <c r="J74" s="9"/>
      <c r="K74" s="9"/>
      <c r="L74" s="10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1"/>
      <c r="AL74" s="11"/>
      <c r="AM74" s="11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7"/>
      <c r="BU74" s="7"/>
      <c r="BV74" s="7"/>
      <c r="BW74" s="7"/>
      <c r="BX74" s="11"/>
      <c r="BY74" s="11"/>
      <c r="BZ74" s="11"/>
      <c r="CA74" s="7"/>
      <c r="CB74" s="7"/>
      <c r="CC74" s="7"/>
      <c r="CD74" s="7"/>
      <c r="CE74" s="7"/>
      <c r="CF74" s="7"/>
      <c r="CG74" s="8"/>
      <c r="CH74" s="7"/>
      <c r="CI74" s="7"/>
      <c r="CJ74" s="7"/>
      <c r="CK74" s="7"/>
      <c r="CL74" s="7"/>
      <c r="CM74" s="7"/>
      <c r="CN74" s="7"/>
      <c r="CO74" s="7"/>
      <c r="CP74" s="7"/>
      <c r="CQ74" s="8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8"/>
      <c r="DG74" s="8"/>
      <c r="DH74" s="15"/>
      <c r="DI74" s="8"/>
      <c r="DJ74" s="8"/>
      <c r="DK74" s="11"/>
      <c r="DL74" s="11"/>
      <c r="DM74" s="11"/>
    </row>
    <row r="75" ht="11.25" customHeight="1">
      <c r="A75" s="11"/>
      <c r="B75" s="6"/>
      <c r="C75" s="11"/>
      <c r="D75" s="11"/>
      <c r="E75" s="11"/>
      <c r="F75" s="9"/>
      <c r="G75" s="9"/>
      <c r="H75" s="9"/>
      <c r="I75" s="16"/>
      <c r="J75" s="9"/>
      <c r="K75" s="9"/>
      <c r="L75" s="10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1"/>
      <c r="AL75" s="11"/>
      <c r="AM75" s="11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7"/>
      <c r="BU75" s="7"/>
      <c r="BV75" s="7"/>
      <c r="BW75" s="7"/>
      <c r="BX75" s="11"/>
      <c r="BY75" s="11"/>
      <c r="BZ75" s="11"/>
      <c r="CA75" s="7"/>
      <c r="CB75" s="7"/>
      <c r="CC75" s="7"/>
      <c r="CD75" s="7"/>
      <c r="CE75" s="7"/>
      <c r="CF75" s="7"/>
      <c r="CG75" s="8"/>
      <c r="CH75" s="7"/>
      <c r="CI75" s="7"/>
      <c r="CJ75" s="7"/>
      <c r="CK75" s="7"/>
      <c r="CL75" s="7"/>
      <c r="CM75" s="7"/>
      <c r="CN75" s="7"/>
      <c r="CO75" s="7"/>
      <c r="CP75" s="7"/>
      <c r="CQ75" s="8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8"/>
      <c r="DG75" s="8"/>
      <c r="DH75" s="15"/>
      <c r="DI75" s="8"/>
      <c r="DJ75" s="8"/>
      <c r="DK75" s="11"/>
      <c r="DL75" s="11"/>
      <c r="DM75" s="11"/>
    </row>
    <row r="76" ht="11.25" customHeight="1">
      <c r="A76" s="11"/>
      <c r="B76" s="6"/>
      <c r="C76" s="11"/>
      <c r="D76" s="11"/>
      <c r="E76" s="11"/>
      <c r="F76" s="9"/>
      <c r="G76" s="9"/>
      <c r="H76" s="9"/>
      <c r="I76" s="16"/>
      <c r="J76" s="9"/>
      <c r="K76" s="9"/>
      <c r="L76" s="10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1"/>
      <c r="AL76" s="11"/>
      <c r="AM76" s="11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7"/>
      <c r="BU76" s="7"/>
      <c r="BV76" s="7"/>
      <c r="BW76" s="7"/>
      <c r="BX76" s="11"/>
      <c r="BY76" s="11"/>
      <c r="BZ76" s="11"/>
      <c r="CA76" s="7"/>
      <c r="CB76" s="7"/>
      <c r="CC76" s="7"/>
      <c r="CD76" s="7"/>
      <c r="CE76" s="7"/>
      <c r="CF76" s="7"/>
      <c r="CG76" s="8"/>
      <c r="CH76" s="7"/>
      <c r="CI76" s="7"/>
      <c r="CJ76" s="7"/>
      <c r="CK76" s="7"/>
      <c r="CL76" s="7"/>
      <c r="CM76" s="7"/>
      <c r="CN76" s="7"/>
      <c r="CO76" s="7"/>
      <c r="CP76" s="7"/>
      <c r="CQ76" s="8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8"/>
      <c r="DG76" s="8"/>
      <c r="DH76" s="15"/>
      <c r="DI76" s="8"/>
      <c r="DJ76" s="8"/>
      <c r="DK76" s="11"/>
      <c r="DL76" s="11"/>
      <c r="DM76" s="11"/>
    </row>
    <row r="77" ht="11.25" customHeight="1">
      <c r="A77" s="11"/>
      <c r="B77" s="6"/>
      <c r="C77" s="11"/>
      <c r="D77" s="11"/>
      <c r="E77" s="11"/>
      <c r="F77" s="9"/>
      <c r="G77" s="9"/>
      <c r="H77" s="9"/>
      <c r="I77" s="16"/>
      <c r="J77" s="9"/>
      <c r="K77" s="9"/>
      <c r="L77" s="10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11"/>
      <c r="AL77" s="11"/>
      <c r="AM77" s="11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7"/>
      <c r="BU77" s="7"/>
      <c r="BV77" s="7"/>
      <c r="BW77" s="7"/>
      <c r="BX77" s="11"/>
      <c r="BY77" s="11"/>
      <c r="BZ77" s="11"/>
      <c r="CA77" s="7"/>
      <c r="CB77" s="7"/>
      <c r="CC77" s="7"/>
      <c r="CD77" s="7"/>
      <c r="CE77" s="7"/>
      <c r="CF77" s="7"/>
      <c r="CG77" s="8"/>
      <c r="CH77" s="7"/>
      <c r="CI77" s="7"/>
      <c r="CJ77" s="7"/>
      <c r="CK77" s="7"/>
      <c r="CL77" s="7"/>
      <c r="CM77" s="7"/>
      <c r="CN77" s="7"/>
      <c r="CO77" s="7"/>
      <c r="CP77" s="7"/>
      <c r="CQ77" s="8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8"/>
      <c r="DG77" s="8"/>
      <c r="DH77" s="15"/>
      <c r="DI77" s="8"/>
      <c r="DJ77" s="8"/>
      <c r="DK77" s="11"/>
      <c r="DL77" s="11"/>
      <c r="DM77" s="11"/>
    </row>
    <row r="78" ht="11.25" customHeight="1">
      <c r="A78" s="11"/>
      <c r="B78" s="6"/>
      <c r="C78" s="11"/>
      <c r="D78" s="11"/>
      <c r="E78" s="11"/>
      <c r="F78" s="9"/>
      <c r="G78" s="9"/>
      <c r="H78" s="9"/>
      <c r="I78" s="16"/>
      <c r="J78" s="9"/>
      <c r="K78" s="9"/>
      <c r="L78" s="10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1"/>
      <c r="AL78" s="11"/>
      <c r="AM78" s="11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7"/>
      <c r="BU78" s="7"/>
      <c r="BV78" s="7"/>
      <c r="BW78" s="7"/>
      <c r="BX78" s="11"/>
      <c r="BY78" s="11"/>
      <c r="BZ78" s="11"/>
      <c r="CA78" s="7"/>
      <c r="CB78" s="7"/>
      <c r="CC78" s="7"/>
      <c r="CD78" s="7"/>
      <c r="CE78" s="7"/>
      <c r="CF78" s="7"/>
      <c r="CG78" s="8"/>
      <c r="CH78" s="7"/>
      <c r="CI78" s="7"/>
      <c r="CJ78" s="7"/>
      <c r="CK78" s="7"/>
      <c r="CL78" s="7"/>
      <c r="CM78" s="7"/>
      <c r="CN78" s="7"/>
      <c r="CO78" s="7"/>
      <c r="CP78" s="7"/>
      <c r="CQ78" s="8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8"/>
      <c r="DG78" s="8"/>
      <c r="DH78" s="15"/>
      <c r="DI78" s="8"/>
      <c r="DJ78" s="8"/>
      <c r="DK78" s="11"/>
      <c r="DL78" s="11"/>
      <c r="DM78" s="11"/>
    </row>
    <row r="79" ht="11.25" customHeight="1">
      <c r="A79" s="11"/>
      <c r="B79" s="6"/>
      <c r="C79" s="11"/>
      <c r="D79" s="11"/>
      <c r="E79" s="11"/>
      <c r="F79" s="9"/>
      <c r="G79" s="9"/>
      <c r="H79" s="9"/>
      <c r="I79" s="16"/>
      <c r="J79" s="9"/>
      <c r="K79" s="9"/>
      <c r="L79" s="10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1"/>
      <c r="AL79" s="11"/>
      <c r="AM79" s="11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7"/>
      <c r="BU79" s="7"/>
      <c r="BV79" s="7"/>
      <c r="BW79" s="7"/>
      <c r="BX79" s="11"/>
      <c r="BY79" s="11"/>
      <c r="BZ79" s="11"/>
      <c r="CA79" s="7"/>
      <c r="CB79" s="7"/>
      <c r="CC79" s="7"/>
      <c r="CD79" s="7"/>
      <c r="CE79" s="7"/>
      <c r="CF79" s="7"/>
      <c r="CG79" s="8"/>
      <c r="CH79" s="7"/>
      <c r="CI79" s="7"/>
      <c r="CJ79" s="7"/>
      <c r="CK79" s="7"/>
      <c r="CL79" s="7"/>
      <c r="CM79" s="7"/>
      <c r="CN79" s="7"/>
      <c r="CO79" s="7"/>
      <c r="CP79" s="7"/>
      <c r="CQ79" s="8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8"/>
      <c r="DG79" s="8"/>
      <c r="DH79" s="15"/>
      <c r="DI79" s="8"/>
      <c r="DJ79" s="8"/>
      <c r="DK79" s="11"/>
      <c r="DL79" s="11"/>
      <c r="DM79" s="11"/>
    </row>
    <row r="80" ht="11.25" customHeight="1">
      <c r="A80" s="11"/>
      <c r="B80" s="6"/>
      <c r="C80" s="11"/>
      <c r="D80" s="11"/>
      <c r="E80" s="11"/>
      <c r="F80" s="9"/>
      <c r="G80" s="9"/>
      <c r="H80" s="9"/>
      <c r="I80" s="16"/>
      <c r="J80" s="9"/>
      <c r="K80" s="9"/>
      <c r="L80" s="10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1"/>
      <c r="AL80" s="11"/>
      <c r="AM80" s="11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7"/>
      <c r="BU80" s="7"/>
      <c r="BV80" s="7"/>
      <c r="BW80" s="7"/>
      <c r="BX80" s="11"/>
      <c r="BY80" s="11"/>
      <c r="BZ80" s="11"/>
      <c r="CA80" s="7"/>
      <c r="CB80" s="7"/>
      <c r="CC80" s="7"/>
      <c r="CD80" s="7"/>
      <c r="CE80" s="7"/>
      <c r="CF80" s="7"/>
      <c r="CG80" s="8"/>
      <c r="CH80" s="7"/>
      <c r="CI80" s="7"/>
      <c r="CJ80" s="7"/>
      <c r="CK80" s="7"/>
      <c r="CL80" s="7"/>
      <c r="CM80" s="7"/>
      <c r="CN80" s="7"/>
      <c r="CO80" s="7"/>
      <c r="CP80" s="7"/>
      <c r="CQ80" s="8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8"/>
      <c r="DG80" s="8"/>
      <c r="DH80" s="15"/>
      <c r="DI80" s="8"/>
      <c r="DJ80" s="8"/>
      <c r="DK80" s="11"/>
      <c r="DL80" s="11"/>
      <c r="DM80" s="11"/>
    </row>
    <row r="81" ht="11.25" customHeight="1">
      <c r="A81" s="11"/>
      <c r="B81" s="6"/>
      <c r="C81" s="11"/>
      <c r="D81" s="11"/>
      <c r="E81" s="11"/>
      <c r="F81" s="9"/>
      <c r="G81" s="9"/>
      <c r="H81" s="9"/>
      <c r="I81" s="16"/>
      <c r="J81" s="9"/>
      <c r="K81" s="9"/>
      <c r="L81" s="1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1"/>
      <c r="AL81" s="11"/>
      <c r="AM81" s="11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7"/>
      <c r="BU81" s="7"/>
      <c r="BV81" s="7"/>
      <c r="BW81" s="7"/>
      <c r="BX81" s="11"/>
      <c r="BY81" s="11"/>
      <c r="BZ81" s="11"/>
      <c r="CA81" s="7"/>
      <c r="CB81" s="7"/>
      <c r="CC81" s="7"/>
      <c r="CD81" s="7"/>
      <c r="CE81" s="7"/>
      <c r="CF81" s="7"/>
      <c r="CG81" s="8"/>
      <c r="CH81" s="7"/>
      <c r="CI81" s="7"/>
      <c r="CJ81" s="7"/>
      <c r="CK81" s="7"/>
      <c r="CL81" s="7"/>
      <c r="CM81" s="7"/>
      <c r="CN81" s="7"/>
      <c r="CO81" s="7"/>
      <c r="CP81" s="7"/>
      <c r="CQ81" s="8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8"/>
      <c r="DG81" s="8"/>
      <c r="DH81" s="15"/>
      <c r="DI81" s="8"/>
      <c r="DJ81" s="8"/>
      <c r="DK81" s="11"/>
      <c r="DL81" s="11"/>
      <c r="DM81" s="11"/>
    </row>
    <row r="82" ht="11.25" customHeight="1">
      <c r="A82" s="11"/>
      <c r="B82" s="6"/>
      <c r="C82" s="11"/>
      <c r="D82" s="11"/>
      <c r="E82" s="11"/>
      <c r="F82" s="9"/>
      <c r="G82" s="9"/>
      <c r="H82" s="9"/>
      <c r="I82" s="16"/>
      <c r="J82" s="9"/>
      <c r="K82" s="9"/>
      <c r="L82" s="1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1"/>
      <c r="AL82" s="11"/>
      <c r="AM82" s="11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7"/>
      <c r="BU82" s="7"/>
      <c r="BV82" s="7"/>
      <c r="BW82" s="7"/>
      <c r="BX82" s="11"/>
      <c r="BY82" s="11"/>
      <c r="BZ82" s="11"/>
      <c r="CA82" s="7"/>
      <c r="CB82" s="7"/>
      <c r="CC82" s="7"/>
      <c r="CD82" s="7"/>
      <c r="CE82" s="7"/>
      <c r="CF82" s="7"/>
      <c r="CG82" s="8"/>
      <c r="CH82" s="7"/>
      <c r="CI82" s="7"/>
      <c r="CJ82" s="7"/>
      <c r="CK82" s="7"/>
      <c r="CL82" s="7"/>
      <c r="CM82" s="7"/>
      <c r="CN82" s="7"/>
      <c r="CO82" s="7"/>
      <c r="CP82" s="7"/>
      <c r="CQ82" s="8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8"/>
      <c r="DG82" s="8"/>
      <c r="DH82" s="15"/>
      <c r="DI82" s="8"/>
      <c r="DJ82" s="8"/>
      <c r="DK82" s="11"/>
      <c r="DL82" s="11"/>
      <c r="DM82" s="11"/>
    </row>
    <row r="83" ht="11.25" customHeight="1">
      <c r="A83" s="11"/>
      <c r="B83" s="6"/>
      <c r="C83" s="11"/>
      <c r="D83" s="11"/>
      <c r="E83" s="11"/>
      <c r="F83" s="9"/>
      <c r="G83" s="9"/>
      <c r="H83" s="9"/>
      <c r="I83" s="16"/>
      <c r="J83" s="9"/>
      <c r="K83" s="9"/>
      <c r="L83" s="10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1"/>
      <c r="AL83" s="11"/>
      <c r="AM83" s="11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7"/>
      <c r="BU83" s="7"/>
      <c r="BV83" s="7"/>
      <c r="BW83" s="7"/>
      <c r="BX83" s="11"/>
      <c r="BY83" s="11"/>
      <c r="BZ83" s="11"/>
      <c r="CA83" s="7"/>
      <c r="CB83" s="7"/>
      <c r="CC83" s="7"/>
      <c r="CD83" s="7"/>
      <c r="CE83" s="7"/>
      <c r="CF83" s="7"/>
      <c r="CG83" s="8"/>
      <c r="CH83" s="7"/>
      <c r="CI83" s="7"/>
      <c r="CJ83" s="7"/>
      <c r="CK83" s="7"/>
      <c r="CL83" s="7"/>
      <c r="CM83" s="7"/>
      <c r="CN83" s="7"/>
      <c r="CO83" s="7"/>
      <c r="CP83" s="7"/>
      <c r="CQ83" s="8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8"/>
      <c r="DG83" s="8"/>
      <c r="DH83" s="15"/>
      <c r="DI83" s="8"/>
      <c r="DJ83" s="8"/>
      <c r="DK83" s="11"/>
      <c r="DL83" s="11"/>
      <c r="DM83" s="11"/>
    </row>
    <row r="84" ht="11.25" customHeight="1">
      <c r="A84" s="11"/>
      <c r="B84" s="6"/>
      <c r="C84" s="11"/>
      <c r="D84" s="11"/>
      <c r="E84" s="11"/>
      <c r="F84" s="9"/>
      <c r="G84" s="9"/>
      <c r="H84" s="9"/>
      <c r="I84" s="16"/>
      <c r="J84" s="9"/>
      <c r="K84" s="9"/>
      <c r="L84" s="10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11"/>
      <c r="AL84" s="11"/>
      <c r="AM84" s="11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7"/>
      <c r="BU84" s="7"/>
      <c r="BV84" s="7"/>
      <c r="BW84" s="7"/>
      <c r="BX84" s="11"/>
      <c r="BY84" s="11"/>
      <c r="BZ84" s="11"/>
      <c r="CA84" s="7"/>
      <c r="CB84" s="7"/>
      <c r="CC84" s="7"/>
      <c r="CD84" s="7"/>
      <c r="CE84" s="7"/>
      <c r="CF84" s="7"/>
      <c r="CG84" s="8"/>
      <c r="CH84" s="7"/>
      <c r="CI84" s="7"/>
      <c r="CJ84" s="7"/>
      <c r="CK84" s="7"/>
      <c r="CL84" s="7"/>
      <c r="CM84" s="7"/>
      <c r="CN84" s="7"/>
      <c r="CO84" s="7"/>
      <c r="CP84" s="7"/>
      <c r="CQ84" s="8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8"/>
      <c r="DG84" s="8"/>
      <c r="DH84" s="15"/>
      <c r="DI84" s="8"/>
      <c r="DJ84" s="8"/>
      <c r="DK84" s="11"/>
      <c r="DL84" s="11"/>
      <c r="DM84" s="11"/>
    </row>
    <row r="85" ht="11.25" customHeight="1">
      <c r="A85" s="11"/>
      <c r="B85" s="6"/>
      <c r="C85" s="11"/>
      <c r="D85" s="11"/>
      <c r="E85" s="11"/>
      <c r="F85" s="9"/>
      <c r="G85" s="9"/>
      <c r="H85" s="9"/>
      <c r="I85" s="16"/>
      <c r="J85" s="9"/>
      <c r="K85" s="9"/>
      <c r="L85" s="10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1"/>
      <c r="AL85" s="11"/>
      <c r="AM85" s="11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7"/>
      <c r="BU85" s="7"/>
      <c r="BV85" s="7"/>
      <c r="BW85" s="7"/>
      <c r="BX85" s="11"/>
      <c r="BY85" s="11"/>
      <c r="BZ85" s="11"/>
      <c r="CA85" s="7"/>
      <c r="CB85" s="7"/>
      <c r="CC85" s="7"/>
      <c r="CD85" s="7"/>
      <c r="CE85" s="7"/>
      <c r="CF85" s="7"/>
      <c r="CG85" s="8"/>
      <c r="CH85" s="7"/>
      <c r="CI85" s="7"/>
      <c r="CJ85" s="7"/>
      <c r="CK85" s="7"/>
      <c r="CL85" s="7"/>
      <c r="CM85" s="7"/>
      <c r="CN85" s="7"/>
      <c r="CO85" s="7"/>
      <c r="CP85" s="7"/>
      <c r="CQ85" s="8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8"/>
      <c r="DG85" s="8"/>
      <c r="DH85" s="15"/>
      <c r="DI85" s="8"/>
      <c r="DJ85" s="8"/>
      <c r="DK85" s="11"/>
      <c r="DL85" s="11"/>
      <c r="DM85" s="11"/>
    </row>
    <row r="86" ht="11.25" customHeight="1">
      <c r="A86" s="11"/>
      <c r="B86" s="6"/>
      <c r="C86" s="11"/>
      <c r="D86" s="11"/>
      <c r="E86" s="11"/>
      <c r="F86" s="9"/>
      <c r="G86" s="9"/>
      <c r="H86" s="9"/>
      <c r="I86" s="16"/>
      <c r="J86" s="9"/>
      <c r="K86" s="9"/>
      <c r="L86" s="10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1"/>
      <c r="AL86" s="11"/>
      <c r="AM86" s="11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7"/>
      <c r="BU86" s="7"/>
      <c r="BV86" s="7"/>
      <c r="BW86" s="7"/>
      <c r="BX86" s="11"/>
      <c r="BY86" s="11"/>
      <c r="BZ86" s="11"/>
      <c r="CA86" s="7"/>
      <c r="CB86" s="7"/>
      <c r="CC86" s="7"/>
      <c r="CD86" s="7"/>
      <c r="CE86" s="7"/>
      <c r="CF86" s="7"/>
      <c r="CG86" s="8"/>
      <c r="CH86" s="7"/>
      <c r="CI86" s="7"/>
      <c r="CJ86" s="7"/>
      <c r="CK86" s="7"/>
      <c r="CL86" s="7"/>
      <c r="CM86" s="7"/>
      <c r="CN86" s="7"/>
      <c r="CO86" s="7"/>
      <c r="CP86" s="7"/>
      <c r="CQ86" s="8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8"/>
      <c r="DG86" s="8"/>
      <c r="DH86" s="15"/>
      <c r="DI86" s="8"/>
      <c r="DJ86" s="8"/>
      <c r="DK86" s="11"/>
      <c r="DL86" s="11"/>
      <c r="DM86" s="11"/>
    </row>
    <row r="87" ht="11.25" customHeight="1">
      <c r="A87" s="11"/>
      <c r="B87" s="6"/>
      <c r="C87" s="11"/>
      <c r="D87" s="11"/>
      <c r="E87" s="11"/>
      <c r="F87" s="9"/>
      <c r="G87" s="9"/>
      <c r="H87" s="9"/>
      <c r="I87" s="16"/>
      <c r="J87" s="9"/>
      <c r="K87" s="9"/>
      <c r="L87" s="10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1"/>
      <c r="AL87" s="11"/>
      <c r="AM87" s="11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7"/>
      <c r="BU87" s="7"/>
      <c r="BV87" s="7"/>
      <c r="BW87" s="7"/>
      <c r="BX87" s="11"/>
      <c r="BY87" s="11"/>
      <c r="BZ87" s="11"/>
      <c r="CA87" s="7"/>
      <c r="CB87" s="7"/>
      <c r="CC87" s="7"/>
      <c r="CD87" s="7"/>
      <c r="CE87" s="7"/>
      <c r="CF87" s="7"/>
      <c r="CG87" s="8"/>
      <c r="CH87" s="7"/>
      <c r="CI87" s="7"/>
      <c r="CJ87" s="7"/>
      <c r="CK87" s="7"/>
      <c r="CL87" s="7"/>
      <c r="CM87" s="7"/>
      <c r="CN87" s="7"/>
      <c r="CO87" s="7"/>
      <c r="CP87" s="7"/>
      <c r="CQ87" s="8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8"/>
      <c r="DG87" s="8"/>
      <c r="DH87" s="15"/>
      <c r="DI87" s="8"/>
      <c r="DJ87" s="8"/>
      <c r="DK87" s="11"/>
      <c r="DL87" s="11"/>
      <c r="DM87" s="11"/>
    </row>
    <row r="88" ht="11.25" customHeight="1">
      <c r="A88" s="11"/>
      <c r="B88" s="6"/>
      <c r="C88" s="11"/>
      <c r="D88" s="11"/>
      <c r="E88" s="11"/>
      <c r="F88" s="9"/>
      <c r="G88" s="9"/>
      <c r="H88" s="9"/>
      <c r="I88" s="16"/>
      <c r="J88" s="9"/>
      <c r="K88" s="9"/>
      <c r="L88" s="10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1"/>
      <c r="AL88" s="11"/>
      <c r="AM88" s="11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7"/>
      <c r="BU88" s="7"/>
      <c r="BV88" s="7"/>
      <c r="BW88" s="7"/>
      <c r="BX88" s="11"/>
      <c r="BY88" s="11"/>
      <c r="BZ88" s="11"/>
      <c r="CA88" s="7"/>
      <c r="CB88" s="7"/>
      <c r="CC88" s="7"/>
      <c r="CD88" s="7"/>
      <c r="CE88" s="7"/>
      <c r="CF88" s="7"/>
      <c r="CG88" s="8"/>
      <c r="CH88" s="7"/>
      <c r="CI88" s="7"/>
      <c r="CJ88" s="7"/>
      <c r="CK88" s="7"/>
      <c r="CL88" s="7"/>
      <c r="CM88" s="7"/>
      <c r="CN88" s="7"/>
      <c r="CO88" s="7"/>
      <c r="CP88" s="7"/>
      <c r="CQ88" s="8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8"/>
      <c r="DG88" s="8"/>
      <c r="DH88" s="15"/>
      <c r="DI88" s="8"/>
      <c r="DJ88" s="8"/>
      <c r="DK88" s="11"/>
      <c r="DL88" s="11"/>
      <c r="DM88" s="11"/>
    </row>
    <row r="89" ht="11.25" customHeight="1">
      <c r="A89" s="11"/>
      <c r="B89" s="6"/>
      <c r="C89" s="11"/>
      <c r="D89" s="11"/>
      <c r="E89" s="11"/>
      <c r="F89" s="9"/>
      <c r="G89" s="9"/>
      <c r="H89" s="9"/>
      <c r="I89" s="16"/>
      <c r="J89" s="9"/>
      <c r="K89" s="9"/>
      <c r="L89" s="10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11"/>
      <c r="AL89" s="11"/>
      <c r="AM89" s="11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7"/>
      <c r="BU89" s="7"/>
      <c r="BV89" s="7"/>
      <c r="BW89" s="7"/>
      <c r="BX89" s="11"/>
      <c r="BY89" s="11"/>
      <c r="BZ89" s="11"/>
      <c r="CA89" s="7"/>
      <c r="CB89" s="7"/>
      <c r="CC89" s="7"/>
      <c r="CD89" s="7"/>
      <c r="CE89" s="7"/>
      <c r="CF89" s="7"/>
      <c r="CG89" s="8"/>
      <c r="CH89" s="7"/>
      <c r="CI89" s="7"/>
      <c r="CJ89" s="7"/>
      <c r="CK89" s="7"/>
      <c r="CL89" s="7"/>
      <c r="CM89" s="7"/>
      <c r="CN89" s="7"/>
      <c r="CO89" s="7"/>
      <c r="CP89" s="7"/>
      <c r="CQ89" s="8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8"/>
      <c r="DG89" s="8"/>
      <c r="DH89" s="15"/>
      <c r="DI89" s="8"/>
      <c r="DJ89" s="8"/>
      <c r="DK89" s="11"/>
      <c r="DL89" s="11"/>
      <c r="DM89" s="11"/>
    </row>
    <row r="90" ht="11.25" customHeight="1">
      <c r="A90" s="11"/>
      <c r="B90" s="6"/>
      <c r="C90" s="11"/>
      <c r="D90" s="11"/>
      <c r="E90" s="11"/>
      <c r="F90" s="9"/>
      <c r="G90" s="9"/>
      <c r="H90" s="9"/>
      <c r="I90" s="16"/>
      <c r="J90" s="9"/>
      <c r="K90" s="9"/>
      <c r="L90" s="1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1"/>
      <c r="AL90" s="11"/>
      <c r="AM90" s="11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7"/>
      <c r="BU90" s="7"/>
      <c r="BV90" s="7"/>
      <c r="BW90" s="7"/>
      <c r="BX90" s="11"/>
      <c r="BY90" s="11"/>
      <c r="BZ90" s="11"/>
      <c r="CA90" s="7"/>
      <c r="CB90" s="7"/>
      <c r="CC90" s="7"/>
      <c r="CD90" s="7"/>
      <c r="CE90" s="7"/>
      <c r="CF90" s="7"/>
      <c r="CG90" s="8"/>
      <c r="CH90" s="7"/>
      <c r="CI90" s="7"/>
      <c r="CJ90" s="7"/>
      <c r="CK90" s="7"/>
      <c r="CL90" s="7"/>
      <c r="CM90" s="7"/>
      <c r="CN90" s="7"/>
      <c r="CO90" s="7"/>
      <c r="CP90" s="7"/>
      <c r="CQ90" s="8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8"/>
      <c r="DG90" s="8"/>
      <c r="DH90" s="15"/>
      <c r="DI90" s="8"/>
      <c r="DJ90" s="8"/>
      <c r="DK90" s="11"/>
      <c r="DL90" s="11"/>
      <c r="DM90" s="11"/>
    </row>
    <row r="91" ht="11.25" customHeight="1">
      <c r="A91" s="11"/>
      <c r="B91" s="6"/>
      <c r="C91" s="11"/>
      <c r="D91" s="11"/>
      <c r="E91" s="11"/>
      <c r="F91" s="9"/>
      <c r="G91" s="9"/>
      <c r="H91" s="9"/>
      <c r="I91" s="16"/>
      <c r="J91" s="9"/>
      <c r="K91" s="9"/>
      <c r="L91" s="10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1"/>
      <c r="AL91" s="11"/>
      <c r="AM91" s="11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7"/>
      <c r="BU91" s="7"/>
      <c r="BV91" s="7"/>
      <c r="BW91" s="7"/>
      <c r="BX91" s="11"/>
      <c r="BY91" s="11"/>
      <c r="BZ91" s="11"/>
      <c r="CA91" s="7"/>
      <c r="CB91" s="7"/>
      <c r="CC91" s="7"/>
      <c r="CD91" s="7"/>
      <c r="CE91" s="7"/>
      <c r="CF91" s="7"/>
      <c r="CG91" s="8"/>
      <c r="CH91" s="7"/>
      <c r="CI91" s="7"/>
      <c r="CJ91" s="7"/>
      <c r="CK91" s="7"/>
      <c r="CL91" s="7"/>
      <c r="CM91" s="7"/>
      <c r="CN91" s="7"/>
      <c r="CO91" s="7"/>
      <c r="CP91" s="7"/>
      <c r="CQ91" s="8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8"/>
      <c r="DG91" s="8"/>
      <c r="DH91" s="15"/>
      <c r="DI91" s="8"/>
      <c r="DJ91" s="8"/>
      <c r="DK91" s="11"/>
      <c r="DL91" s="11"/>
      <c r="DM91" s="11"/>
    </row>
    <row r="92" ht="11.25" customHeight="1">
      <c r="A92" s="11"/>
      <c r="B92" s="6"/>
      <c r="C92" s="11"/>
      <c r="D92" s="11"/>
      <c r="E92" s="11"/>
      <c r="F92" s="9"/>
      <c r="G92" s="9"/>
      <c r="H92" s="9"/>
      <c r="I92" s="16"/>
      <c r="J92" s="9"/>
      <c r="K92" s="9"/>
      <c r="L92" s="10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1"/>
      <c r="AL92" s="11"/>
      <c r="AM92" s="11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7"/>
      <c r="BU92" s="7"/>
      <c r="BV92" s="7"/>
      <c r="BW92" s="7"/>
      <c r="BX92" s="11"/>
      <c r="BY92" s="11"/>
      <c r="BZ92" s="11"/>
      <c r="CA92" s="7"/>
      <c r="CB92" s="7"/>
      <c r="CC92" s="7"/>
      <c r="CD92" s="7"/>
      <c r="CE92" s="7"/>
      <c r="CF92" s="7"/>
      <c r="CG92" s="8"/>
      <c r="CH92" s="7"/>
      <c r="CI92" s="7"/>
      <c r="CJ92" s="7"/>
      <c r="CK92" s="7"/>
      <c r="CL92" s="7"/>
      <c r="CM92" s="7"/>
      <c r="CN92" s="7"/>
      <c r="CO92" s="7"/>
      <c r="CP92" s="7"/>
      <c r="CQ92" s="8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8"/>
      <c r="DG92" s="8"/>
      <c r="DH92" s="15"/>
      <c r="DI92" s="8"/>
      <c r="DJ92" s="8"/>
      <c r="DK92" s="11"/>
      <c r="DL92" s="11"/>
      <c r="DM92" s="11"/>
    </row>
    <row r="93" ht="11.25" customHeight="1">
      <c r="A93" s="11"/>
      <c r="B93" s="6"/>
      <c r="C93" s="11"/>
      <c r="D93" s="11"/>
      <c r="E93" s="11"/>
      <c r="F93" s="9"/>
      <c r="G93" s="9"/>
      <c r="H93" s="9"/>
      <c r="I93" s="16"/>
      <c r="J93" s="9"/>
      <c r="K93" s="9"/>
      <c r="L93" s="10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1"/>
      <c r="AL93" s="11"/>
      <c r="AM93" s="11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7"/>
      <c r="BU93" s="7"/>
      <c r="BV93" s="7"/>
      <c r="BW93" s="7"/>
      <c r="BX93" s="11"/>
      <c r="BY93" s="11"/>
      <c r="BZ93" s="11"/>
      <c r="CA93" s="7"/>
      <c r="CB93" s="7"/>
      <c r="CC93" s="7"/>
      <c r="CD93" s="7"/>
      <c r="CE93" s="7"/>
      <c r="CF93" s="7"/>
      <c r="CG93" s="8"/>
      <c r="CH93" s="7"/>
      <c r="CI93" s="7"/>
      <c r="CJ93" s="7"/>
      <c r="CK93" s="7"/>
      <c r="CL93" s="7"/>
      <c r="CM93" s="7"/>
      <c r="CN93" s="7"/>
      <c r="CO93" s="7"/>
      <c r="CP93" s="7"/>
      <c r="CQ93" s="8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8"/>
      <c r="DG93" s="8"/>
      <c r="DH93" s="15"/>
      <c r="DI93" s="8"/>
      <c r="DJ93" s="8"/>
      <c r="DK93" s="11"/>
      <c r="DL93" s="11"/>
      <c r="DM93" s="11"/>
    </row>
    <row r="94" ht="11.25" customHeight="1">
      <c r="A94" s="11"/>
      <c r="B94" s="6"/>
      <c r="C94" s="11"/>
      <c r="D94" s="11"/>
      <c r="E94" s="11"/>
      <c r="F94" s="9"/>
      <c r="G94" s="9"/>
      <c r="H94" s="9"/>
      <c r="I94" s="16"/>
      <c r="J94" s="9"/>
      <c r="K94" s="9"/>
      <c r="L94" s="10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11"/>
      <c r="AL94" s="11"/>
      <c r="AM94" s="11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7"/>
      <c r="BU94" s="7"/>
      <c r="BV94" s="7"/>
      <c r="BW94" s="7"/>
      <c r="BX94" s="11"/>
      <c r="BY94" s="11"/>
      <c r="BZ94" s="11"/>
      <c r="CA94" s="7"/>
      <c r="CB94" s="7"/>
      <c r="CC94" s="7"/>
      <c r="CD94" s="7"/>
      <c r="CE94" s="7"/>
      <c r="CF94" s="7"/>
      <c r="CG94" s="8"/>
      <c r="CH94" s="7"/>
      <c r="CI94" s="7"/>
      <c r="CJ94" s="7"/>
      <c r="CK94" s="7"/>
      <c r="CL94" s="7"/>
      <c r="CM94" s="7"/>
      <c r="CN94" s="7"/>
      <c r="CO94" s="7"/>
      <c r="CP94" s="7"/>
      <c r="CQ94" s="8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8"/>
      <c r="DG94" s="8"/>
      <c r="DH94" s="15"/>
      <c r="DI94" s="8"/>
      <c r="DJ94" s="8"/>
      <c r="DK94" s="11"/>
      <c r="DL94" s="11"/>
      <c r="DM94" s="11"/>
    </row>
    <row r="95" ht="11.25" customHeight="1">
      <c r="A95" s="11"/>
      <c r="B95" s="6"/>
      <c r="C95" s="11"/>
      <c r="D95" s="11"/>
      <c r="E95" s="11"/>
      <c r="F95" s="9"/>
      <c r="G95" s="9"/>
      <c r="H95" s="9"/>
      <c r="I95" s="16"/>
      <c r="J95" s="9"/>
      <c r="K95" s="9"/>
      <c r="L95" s="10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1"/>
      <c r="AL95" s="11"/>
      <c r="AM95" s="11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7"/>
      <c r="BU95" s="7"/>
      <c r="BV95" s="7"/>
      <c r="BW95" s="7"/>
      <c r="BX95" s="11"/>
      <c r="BY95" s="11"/>
      <c r="BZ95" s="11"/>
      <c r="CA95" s="7"/>
      <c r="CB95" s="7"/>
      <c r="CC95" s="7"/>
      <c r="CD95" s="7"/>
      <c r="CE95" s="7"/>
      <c r="CF95" s="7"/>
      <c r="CG95" s="8"/>
      <c r="CH95" s="7"/>
      <c r="CI95" s="7"/>
      <c r="CJ95" s="7"/>
      <c r="CK95" s="7"/>
      <c r="CL95" s="7"/>
      <c r="CM95" s="7"/>
      <c r="CN95" s="7"/>
      <c r="CO95" s="7"/>
      <c r="CP95" s="7"/>
      <c r="CQ95" s="8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8"/>
      <c r="DG95" s="8"/>
      <c r="DH95" s="15"/>
      <c r="DI95" s="8"/>
      <c r="DJ95" s="8"/>
      <c r="DK95" s="11"/>
      <c r="DL95" s="11"/>
      <c r="DM95" s="11"/>
    </row>
    <row r="96" ht="11.25" customHeight="1">
      <c r="A96" s="11"/>
      <c r="B96" s="6"/>
      <c r="C96" s="11"/>
      <c r="D96" s="11"/>
      <c r="E96" s="11"/>
      <c r="F96" s="9"/>
      <c r="G96" s="9"/>
      <c r="H96" s="9"/>
      <c r="I96" s="16"/>
      <c r="J96" s="9"/>
      <c r="K96" s="9"/>
      <c r="L96" s="10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1"/>
      <c r="AL96" s="11"/>
      <c r="AM96" s="11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7"/>
      <c r="BU96" s="7"/>
      <c r="BV96" s="7"/>
      <c r="BW96" s="7"/>
      <c r="BX96" s="11"/>
      <c r="BY96" s="11"/>
      <c r="BZ96" s="11"/>
      <c r="CA96" s="7"/>
      <c r="CB96" s="7"/>
      <c r="CC96" s="7"/>
      <c r="CD96" s="7"/>
      <c r="CE96" s="7"/>
      <c r="CF96" s="7"/>
      <c r="CG96" s="8"/>
      <c r="CH96" s="7"/>
      <c r="CI96" s="7"/>
      <c r="CJ96" s="7"/>
      <c r="CK96" s="7"/>
      <c r="CL96" s="7"/>
      <c r="CM96" s="7"/>
      <c r="CN96" s="7"/>
      <c r="CO96" s="7"/>
      <c r="CP96" s="7"/>
      <c r="CQ96" s="8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8"/>
      <c r="DG96" s="8"/>
      <c r="DH96" s="15"/>
      <c r="DI96" s="8"/>
      <c r="DJ96" s="8"/>
      <c r="DK96" s="11"/>
      <c r="DL96" s="11"/>
      <c r="DM96" s="11"/>
    </row>
    <row r="97" ht="11.25" customHeight="1">
      <c r="A97" s="11"/>
      <c r="B97" s="6"/>
      <c r="C97" s="11"/>
      <c r="D97" s="11"/>
      <c r="E97" s="11"/>
      <c r="F97" s="9"/>
      <c r="G97" s="9"/>
      <c r="H97" s="9"/>
      <c r="I97" s="16"/>
      <c r="J97" s="9"/>
      <c r="K97" s="9"/>
      <c r="L97" s="10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1"/>
      <c r="AL97" s="11"/>
      <c r="AM97" s="11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7"/>
      <c r="BU97" s="7"/>
      <c r="BV97" s="7"/>
      <c r="BW97" s="7"/>
      <c r="BX97" s="11"/>
      <c r="BY97" s="11"/>
      <c r="BZ97" s="11"/>
      <c r="CA97" s="7"/>
      <c r="CB97" s="7"/>
      <c r="CC97" s="7"/>
      <c r="CD97" s="7"/>
      <c r="CE97" s="7"/>
      <c r="CF97" s="7"/>
      <c r="CG97" s="8"/>
      <c r="CH97" s="7"/>
      <c r="CI97" s="7"/>
      <c r="CJ97" s="7"/>
      <c r="CK97" s="7"/>
      <c r="CL97" s="7"/>
      <c r="CM97" s="7"/>
      <c r="CN97" s="7"/>
      <c r="CO97" s="7"/>
      <c r="CP97" s="7"/>
      <c r="CQ97" s="8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8"/>
      <c r="DG97" s="8"/>
      <c r="DH97" s="15"/>
      <c r="DI97" s="8"/>
      <c r="DJ97" s="8"/>
      <c r="DK97" s="11"/>
      <c r="DL97" s="11"/>
      <c r="DM97" s="11"/>
    </row>
    <row r="98" ht="11.25" customHeight="1">
      <c r="A98" s="11"/>
      <c r="B98" s="6"/>
      <c r="C98" s="11"/>
      <c r="D98" s="11"/>
      <c r="E98" s="11"/>
      <c r="F98" s="9"/>
      <c r="G98" s="9"/>
      <c r="H98" s="9"/>
      <c r="I98" s="16"/>
      <c r="J98" s="9"/>
      <c r="K98" s="9"/>
      <c r="L98" s="10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1"/>
      <c r="AL98" s="11"/>
      <c r="AM98" s="11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7"/>
      <c r="BU98" s="7"/>
      <c r="BV98" s="7"/>
      <c r="BW98" s="7"/>
      <c r="BX98" s="11"/>
      <c r="BY98" s="11"/>
      <c r="BZ98" s="11"/>
      <c r="CA98" s="7"/>
      <c r="CB98" s="7"/>
      <c r="CC98" s="7"/>
      <c r="CD98" s="7"/>
      <c r="CE98" s="7"/>
      <c r="CF98" s="7"/>
      <c r="CG98" s="8"/>
      <c r="CH98" s="7"/>
      <c r="CI98" s="7"/>
      <c r="CJ98" s="7"/>
      <c r="CK98" s="7"/>
      <c r="CL98" s="7"/>
      <c r="CM98" s="7"/>
      <c r="CN98" s="7"/>
      <c r="CO98" s="7"/>
      <c r="CP98" s="7"/>
      <c r="CQ98" s="8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8"/>
      <c r="DG98" s="8"/>
      <c r="DH98" s="15"/>
      <c r="DI98" s="8"/>
      <c r="DJ98" s="8"/>
      <c r="DK98" s="11"/>
      <c r="DL98" s="11"/>
      <c r="DM98" s="11"/>
    </row>
    <row r="99" ht="11.25" customHeight="1">
      <c r="A99" s="11"/>
      <c r="B99" s="6"/>
      <c r="C99" s="11"/>
      <c r="D99" s="11"/>
      <c r="E99" s="11"/>
      <c r="F99" s="9"/>
      <c r="G99" s="9"/>
      <c r="H99" s="9"/>
      <c r="I99" s="16"/>
      <c r="J99" s="9"/>
      <c r="K99" s="9"/>
      <c r="L99" s="10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11"/>
      <c r="AL99" s="11"/>
      <c r="AM99" s="11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7"/>
      <c r="BU99" s="7"/>
      <c r="BV99" s="7"/>
      <c r="BW99" s="7"/>
      <c r="BX99" s="11"/>
      <c r="BY99" s="11"/>
      <c r="BZ99" s="11"/>
      <c r="CA99" s="7"/>
      <c r="CB99" s="7"/>
      <c r="CC99" s="7"/>
      <c r="CD99" s="7"/>
      <c r="CE99" s="7"/>
      <c r="CF99" s="7"/>
      <c r="CG99" s="8"/>
      <c r="CH99" s="7"/>
      <c r="CI99" s="7"/>
      <c r="CJ99" s="7"/>
      <c r="CK99" s="7"/>
      <c r="CL99" s="7"/>
      <c r="CM99" s="7"/>
      <c r="CN99" s="7"/>
      <c r="CO99" s="7"/>
      <c r="CP99" s="7"/>
      <c r="CQ99" s="8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8"/>
      <c r="DG99" s="8"/>
      <c r="DH99" s="15"/>
      <c r="DI99" s="8"/>
      <c r="DJ99" s="8"/>
      <c r="DK99" s="11"/>
      <c r="DL99" s="11"/>
      <c r="DM99" s="11"/>
    </row>
    <row r="100" ht="11.25" customHeight="1">
      <c r="A100" s="11"/>
      <c r="B100" s="6"/>
      <c r="C100" s="11"/>
      <c r="D100" s="11"/>
      <c r="E100" s="11"/>
      <c r="F100" s="9"/>
      <c r="G100" s="9"/>
      <c r="H100" s="9"/>
      <c r="I100" s="16"/>
      <c r="J100" s="9"/>
      <c r="K100" s="9"/>
      <c r="L100" s="10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1"/>
      <c r="AL100" s="11"/>
      <c r="AM100" s="11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7"/>
      <c r="BU100" s="7"/>
      <c r="BV100" s="7"/>
      <c r="BW100" s="7"/>
      <c r="BX100" s="11"/>
      <c r="BY100" s="11"/>
      <c r="BZ100" s="11"/>
      <c r="CA100" s="7"/>
      <c r="CB100" s="7"/>
      <c r="CC100" s="7"/>
      <c r="CD100" s="7"/>
      <c r="CE100" s="7"/>
      <c r="CF100" s="7"/>
      <c r="CG100" s="8"/>
      <c r="CH100" s="7"/>
      <c r="CI100" s="7"/>
      <c r="CJ100" s="7"/>
      <c r="CK100" s="7"/>
      <c r="CL100" s="7"/>
      <c r="CM100" s="7"/>
      <c r="CN100" s="7"/>
      <c r="CO100" s="7"/>
      <c r="CP100" s="7"/>
      <c r="CQ100" s="8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8"/>
      <c r="DG100" s="8"/>
      <c r="DH100" s="15"/>
      <c r="DI100" s="8"/>
      <c r="DJ100" s="8"/>
      <c r="DK100" s="11"/>
      <c r="DL100" s="11"/>
      <c r="DM100" s="11"/>
    </row>
    <row r="101" ht="11.25" customHeight="1">
      <c r="A101" s="11"/>
      <c r="B101" s="6"/>
      <c r="C101" s="11"/>
      <c r="D101" s="11"/>
      <c r="E101" s="11"/>
      <c r="F101" s="9"/>
      <c r="G101" s="9"/>
      <c r="H101" s="9"/>
      <c r="I101" s="16"/>
      <c r="J101" s="9"/>
      <c r="K101" s="9"/>
      <c r="L101" s="10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1"/>
      <c r="AL101" s="11"/>
      <c r="AM101" s="11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7"/>
      <c r="BU101" s="7"/>
      <c r="BV101" s="7"/>
      <c r="BW101" s="7"/>
      <c r="BX101" s="11"/>
      <c r="BY101" s="11"/>
      <c r="BZ101" s="11"/>
      <c r="CA101" s="7"/>
      <c r="CB101" s="7"/>
      <c r="CC101" s="7"/>
      <c r="CD101" s="7"/>
      <c r="CE101" s="7"/>
      <c r="CF101" s="7"/>
      <c r="CG101" s="8"/>
      <c r="CH101" s="7"/>
      <c r="CI101" s="7"/>
      <c r="CJ101" s="7"/>
      <c r="CK101" s="7"/>
      <c r="CL101" s="7"/>
      <c r="CM101" s="7"/>
      <c r="CN101" s="7"/>
      <c r="CO101" s="7"/>
      <c r="CP101" s="7"/>
      <c r="CQ101" s="8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8"/>
      <c r="DG101" s="8"/>
      <c r="DH101" s="15"/>
      <c r="DI101" s="8"/>
      <c r="DJ101" s="8"/>
      <c r="DK101" s="11"/>
      <c r="DL101" s="11"/>
      <c r="DM101" s="11"/>
    </row>
    <row r="102" ht="11.25" customHeight="1">
      <c r="A102" s="11"/>
      <c r="B102" s="6"/>
      <c r="C102" s="11"/>
      <c r="D102" s="11"/>
      <c r="E102" s="11"/>
      <c r="F102" s="9"/>
      <c r="G102" s="9"/>
      <c r="H102" s="9"/>
      <c r="I102" s="16"/>
      <c r="J102" s="9"/>
      <c r="K102" s="9"/>
      <c r="L102" s="10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1"/>
      <c r="AL102" s="11"/>
      <c r="AM102" s="11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7"/>
      <c r="BU102" s="7"/>
      <c r="BV102" s="7"/>
      <c r="BW102" s="7"/>
      <c r="BX102" s="11"/>
      <c r="BY102" s="11"/>
      <c r="BZ102" s="11"/>
      <c r="CA102" s="7"/>
      <c r="CB102" s="7"/>
      <c r="CC102" s="7"/>
      <c r="CD102" s="7"/>
      <c r="CE102" s="7"/>
      <c r="CF102" s="7"/>
      <c r="CG102" s="8"/>
      <c r="CH102" s="7"/>
      <c r="CI102" s="7"/>
      <c r="CJ102" s="7"/>
      <c r="CK102" s="7"/>
      <c r="CL102" s="7"/>
      <c r="CM102" s="7"/>
      <c r="CN102" s="7"/>
      <c r="CO102" s="7"/>
      <c r="CP102" s="7"/>
      <c r="CQ102" s="8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8"/>
      <c r="DG102" s="8"/>
      <c r="DH102" s="15"/>
      <c r="DI102" s="8"/>
      <c r="DJ102" s="8"/>
      <c r="DK102" s="11"/>
      <c r="DL102" s="11"/>
      <c r="DM102" s="11"/>
    </row>
    <row r="103" ht="11.25" customHeight="1">
      <c r="A103" s="11"/>
      <c r="B103" s="6"/>
      <c r="C103" s="11"/>
      <c r="D103" s="11"/>
      <c r="E103" s="11"/>
      <c r="F103" s="9"/>
      <c r="G103" s="9"/>
      <c r="H103" s="9"/>
      <c r="I103" s="16"/>
      <c r="J103" s="9"/>
      <c r="K103" s="9"/>
      <c r="L103" s="10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1"/>
      <c r="AL103" s="11"/>
      <c r="AM103" s="11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7"/>
      <c r="BU103" s="7"/>
      <c r="BV103" s="7"/>
      <c r="BW103" s="7"/>
      <c r="BX103" s="11"/>
      <c r="BY103" s="11"/>
      <c r="BZ103" s="11"/>
      <c r="CA103" s="7"/>
      <c r="CB103" s="7"/>
      <c r="CC103" s="7"/>
      <c r="CD103" s="7"/>
      <c r="CE103" s="7"/>
      <c r="CF103" s="7"/>
      <c r="CG103" s="8"/>
      <c r="CH103" s="7"/>
      <c r="CI103" s="7"/>
      <c r="CJ103" s="7"/>
      <c r="CK103" s="7"/>
      <c r="CL103" s="7"/>
      <c r="CM103" s="7"/>
      <c r="CN103" s="7"/>
      <c r="CO103" s="7"/>
      <c r="CP103" s="7"/>
      <c r="CQ103" s="8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8"/>
      <c r="DG103" s="8"/>
      <c r="DH103" s="15"/>
      <c r="DI103" s="8"/>
      <c r="DJ103" s="8"/>
      <c r="DK103" s="11"/>
      <c r="DL103" s="11"/>
      <c r="DM103" s="11"/>
    </row>
    <row r="104" ht="11.25" customHeight="1">
      <c r="A104" s="11"/>
      <c r="B104" s="6"/>
      <c r="C104" s="11"/>
      <c r="D104" s="11"/>
      <c r="E104" s="11"/>
      <c r="F104" s="9"/>
      <c r="G104" s="9"/>
      <c r="H104" s="9"/>
      <c r="I104" s="16"/>
      <c r="J104" s="9"/>
      <c r="K104" s="9"/>
      <c r="L104" s="10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11"/>
      <c r="AL104" s="11"/>
      <c r="AM104" s="11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7"/>
      <c r="BU104" s="7"/>
      <c r="BV104" s="7"/>
      <c r="BW104" s="7"/>
      <c r="BX104" s="11"/>
      <c r="BY104" s="11"/>
      <c r="BZ104" s="11"/>
      <c r="CA104" s="7"/>
      <c r="CB104" s="7"/>
      <c r="CC104" s="7"/>
      <c r="CD104" s="7"/>
      <c r="CE104" s="7"/>
      <c r="CF104" s="7"/>
      <c r="CG104" s="8"/>
      <c r="CH104" s="7"/>
      <c r="CI104" s="7"/>
      <c r="CJ104" s="7"/>
      <c r="CK104" s="7"/>
      <c r="CL104" s="7"/>
      <c r="CM104" s="7"/>
      <c r="CN104" s="7"/>
      <c r="CO104" s="7"/>
      <c r="CP104" s="7"/>
      <c r="CQ104" s="8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8"/>
      <c r="DG104" s="8"/>
      <c r="DH104" s="15"/>
      <c r="DI104" s="8"/>
      <c r="DJ104" s="8"/>
      <c r="DK104" s="11"/>
      <c r="DL104" s="11"/>
      <c r="DM104" s="11"/>
    </row>
    <row r="105" ht="11.25" customHeight="1">
      <c r="A105" s="11"/>
      <c r="B105" s="6"/>
      <c r="C105" s="11"/>
      <c r="D105" s="11"/>
      <c r="E105" s="11"/>
      <c r="F105" s="9"/>
      <c r="G105" s="9"/>
      <c r="H105" s="9"/>
      <c r="I105" s="16"/>
      <c r="J105" s="9"/>
      <c r="K105" s="9"/>
      <c r="L105" s="10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1"/>
      <c r="AL105" s="11"/>
      <c r="AM105" s="11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7"/>
      <c r="BU105" s="7"/>
      <c r="BV105" s="7"/>
      <c r="BW105" s="7"/>
      <c r="BX105" s="11"/>
      <c r="BY105" s="11"/>
      <c r="BZ105" s="11"/>
      <c r="CA105" s="7"/>
      <c r="CB105" s="7"/>
      <c r="CC105" s="7"/>
      <c r="CD105" s="7"/>
      <c r="CE105" s="7"/>
      <c r="CF105" s="7"/>
      <c r="CG105" s="8"/>
      <c r="CH105" s="7"/>
      <c r="CI105" s="7"/>
      <c r="CJ105" s="7"/>
      <c r="CK105" s="7"/>
      <c r="CL105" s="7"/>
      <c r="CM105" s="7"/>
      <c r="CN105" s="7"/>
      <c r="CO105" s="7"/>
      <c r="CP105" s="7"/>
      <c r="CQ105" s="8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8"/>
      <c r="DG105" s="8"/>
      <c r="DH105" s="15"/>
      <c r="DI105" s="8"/>
      <c r="DJ105" s="8"/>
      <c r="DK105" s="11"/>
      <c r="DL105" s="11"/>
      <c r="DM105" s="11"/>
    </row>
    <row r="106" ht="11.25" customHeight="1">
      <c r="A106" s="11"/>
      <c r="B106" s="6"/>
      <c r="C106" s="11"/>
      <c r="D106" s="11"/>
      <c r="E106" s="11"/>
      <c r="F106" s="9"/>
      <c r="G106" s="9"/>
      <c r="H106" s="9"/>
      <c r="I106" s="16"/>
      <c r="J106" s="9"/>
      <c r="K106" s="9"/>
      <c r="L106" s="10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1"/>
      <c r="AL106" s="11"/>
      <c r="AM106" s="11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7"/>
      <c r="BU106" s="7"/>
      <c r="BV106" s="7"/>
      <c r="BW106" s="7"/>
      <c r="BX106" s="11"/>
      <c r="BY106" s="11"/>
      <c r="BZ106" s="11"/>
      <c r="CA106" s="7"/>
      <c r="CB106" s="7"/>
      <c r="CC106" s="7"/>
      <c r="CD106" s="7"/>
      <c r="CE106" s="7"/>
      <c r="CF106" s="7"/>
      <c r="CG106" s="8"/>
      <c r="CH106" s="7"/>
      <c r="CI106" s="7"/>
      <c r="CJ106" s="7"/>
      <c r="CK106" s="7"/>
      <c r="CL106" s="7"/>
      <c r="CM106" s="7"/>
      <c r="CN106" s="7"/>
      <c r="CO106" s="7"/>
      <c r="CP106" s="7"/>
      <c r="CQ106" s="8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8"/>
      <c r="DG106" s="8"/>
      <c r="DH106" s="15"/>
      <c r="DI106" s="8"/>
      <c r="DJ106" s="8"/>
      <c r="DK106" s="11"/>
      <c r="DL106" s="11"/>
      <c r="DM106" s="11"/>
    </row>
    <row r="107" ht="11.25" customHeight="1">
      <c r="A107" s="11"/>
      <c r="B107" s="6"/>
      <c r="C107" s="11"/>
      <c r="D107" s="11"/>
      <c r="E107" s="11"/>
      <c r="F107" s="9"/>
      <c r="G107" s="9"/>
      <c r="H107" s="9"/>
      <c r="I107" s="16"/>
      <c r="J107" s="9"/>
      <c r="K107" s="9"/>
      <c r="L107" s="10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1"/>
      <c r="AL107" s="11"/>
      <c r="AM107" s="11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7"/>
      <c r="BU107" s="7"/>
      <c r="BV107" s="7"/>
      <c r="BW107" s="7"/>
      <c r="BX107" s="11"/>
      <c r="BY107" s="11"/>
      <c r="BZ107" s="11"/>
      <c r="CA107" s="7"/>
      <c r="CB107" s="7"/>
      <c r="CC107" s="7"/>
      <c r="CD107" s="7"/>
      <c r="CE107" s="7"/>
      <c r="CF107" s="7"/>
      <c r="CG107" s="8"/>
      <c r="CH107" s="7"/>
      <c r="CI107" s="7"/>
      <c r="CJ107" s="7"/>
      <c r="CK107" s="7"/>
      <c r="CL107" s="7"/>
      <c r="CM107" s="7"/>
      <c r="CN107" s="7"/>
      <c r="CO107" s="7"/>
      <c r="CP107" s="7"/>
      <c r="CQ107" s="8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8"/>
      <c r="DG107" s="8"/>
      <c r="DH107" s="15"/>
      <c r="DI107" s="8"/>
      <c r="DJ107" s="8"/>
      <c r="DK107" s="11"/>
      <c r="DL107" s="11"/>
      <c r="DM107" s="11"/>
    </row>
    <row r="108" ht="11.25" customHeight="1">
      <c r="A108" s="11"/>
      <c r="B108" s="6"/>
      <c r="C108" s="11"/>
      <c r="D108" s="11"/>
      <c r="E108" s="11"/>
      <c r="F108" s="9"/>
      <c r="G108" s="9"/>
      <c r="H108" s="9"/>
      <c r="I108" s="16"/>
      <c r="J108" s="9"/>
      <c r="K108" s="9"/>
      <c r="L108" s="10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1"/>
      <c r="AL108" s="11"/>
      <c r="AM108" s="11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7"/>
      <c r="BU108" s="7"/>
      <c r="BV108" s="7"/>
      <c r="BW108" s="7"/>
      <c r="BX108" s="11"/>
      <c r="BY108" s="11"/>
      <c r="BZ108" s="11"/>
      <c r="CA108" s="7"/>
      <c r="CB108" s="7"/>
      <c r="CC108" s="7"/>
      <c r="CD108" s="7"/>
      <c r="CE108" s="7"/>
      <c r="CF108" s="7"/>
      <c r="CG108" s="8"/>
      <c r="CH108" s="7"/>
      <c r="CI108" s="7"/>
      <c r="CJ108" s="7"/>
      <c r="CK108" s="7"/>
      <c r="CL108" s="7"/>
      <c r="CM108" s="7"/>
      <c r="CN108" s="7"/>
      <c r="CO108" s="7"/>
      <c r="CP108" s="7"/>
      <c r="CQ108" s="8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8"/>
      <c r="DG108" s="8"/>
      <c r="DH108" s="15"/>
      <c r="DI108" s="8"/>
      <c r="DJ108" s="8"/>
      <c r="DK108" s="11"/>
      <c r="DL108" s="11"/>
      <c r="DM108" s="11"/>
    </row>
    <row r="109" ht="11.25" customHeight="1">
      <c r="A109" s="11"/>
      <c r="B109" s="6"/>
      <c r="C109" s="11"/>
      <c r="D109" s="11"/>
      <c r="E109" s="11"/>
      <c r="F109" s="9"/>
      <c r="G109" s="9"/>
      <c r="H109" s="9"/>
      <c r="I109" s="16"/>
      <c r="J109" s="9"/>
      <c r="K109" s="9"/>
      <c r="L109" s="10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11"/>
      <c r="AL109" s="11"/>
      <c r="AM109" s="11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7"/>
      <c r="BU109" s="7"/>
      <c r="BV109" s="7"/>
      <c r="BW109" s="7"/>
      <c r="BX109" s="11"/>
      <c r="BY109" s="11"/>
      <c r="BZ109" s="11"/>
      <c r="CA109" s="7"/>
      <c r="CB109" s="7"/>
      <c r="CC109" s="7"/>
      <c r="CD109" s="7"/>
      <c r="CE109" s="7"/>
      <c r="CF109" s="7"/>
      <c r="CG109" s="8"/>
      <c r="CH109" s="7"/>
      <c r="CI109" s="7"/>
      <c r="CJ109" s="7"/>
      <c r="CK109" s="7"/>
      <c r="CL109" s="7"/>
      <c r="CM109" s="7"/>
      <c r="CN109" s="7"/>
      <c r="CO109" s="7"/>
      <c r="CP109" s="7"/>
      <c r="CQ109" s="8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8"/>
      <c r="DG109" s="8"/>
      <c r="DH109" s="15"/>
      <c r="DI109" s="8"/>
      <c r="DJ109" s="8"/>
      <c r="DK109" s="11"/>
      <c r="DL109" s="11"/>
      <c r="DM109" s="11"/>
    </row>
    <row r="110" ht="11.25" customHeight="1">
      <c r="A110" s="11"/>
      <c r="B110" s="6"/>
      <c r="C110" s="11"/>
      <c r="D110" s="11"/>
      <c r="E110" s="11"/>
      <c r="F110" s="9"/>
      <c r="G110" s="9"/>
      <c r="H110" s="9"/>
      <c r="I110" s="16"/>
      <c r="J110" s="9"/>
      <c r="K110" s="9"/>
      <c r="L110" s="10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11"/>
      <c r="AL110" s="11"/>
      <c r="AM110" s="11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7"/>
      <c r="BU110" s="7"/>
      <c r="BV110" s="7"/>
      <c r="BW110" s="7"/>
      <c r="BX110" s="11"/>
      <c r="BY110" s="11"/>
      <c r="BZ110" s="11"/>
      <c r="CA110" s="7"/>
      <c r="CB110" s="7"/>
      <c r="CC110" s="7"/>
      <c r="CD110" s="7"/>
      <c r="CE110" s="7"/>
      <c r="CF110" s="7"/>
      <c r="CG110" s="8"/>
      <c r="CH110" s="7"/>
      <c r="CI110" s="7"/>
      <c r="CJ110" s="7"/>
      <c r="CK110" s="7"/>
      <c r="CL110" s="7"/>
      <c r="CM110" s="7"/>
      <c r="CN110" s="7"/>
      <c r="CO110" s="7"/>
      <c r="CP110" s="7"/>
      <c r="CQ110" s="8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8"/>
      <c r="DG110" s="8"/>
      <c r="DH110" s="15"/>
      <c r="DI110" s="8"/>
      <c r="DJ110" s="8"/>
      <c r="DK110" s="11"/>
      <c r="DL110" s="11"/>
      <c r="DM110" s="11"/>
    </row>
    <row r="111" ht="11.25" customHeight="1">
      <c r="A111" s="11"/>
      <c r="B111" s="6"/>
      <c r="C111" s="11"/>
      <c r="D111" s="11"/>
      <c r="E111" s="11"/>
      <c r="F111" s="9"/>
      <c r="G111" s="9"/>
      <c r="H111" s="9"/>
      <c r="I111" s="16"/>
      <c r="J111" s="9"/>
      <c r="K111" s="9"/>
      <c r="L111" s="10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11"/>
      <c r="AL111" s="11"/>
      <c r="AM111" s="11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7"/>
      <c r="BU111" s="7"/>
      <c r="BV111" s="7"/>
      <c r="BW111" s="7"/>
      <c r="BX111" s="11"/>
      <c r="BY111" s="11"/>
      <c r="BZ111" s="11"/>
      <c r="CA111" s="7"/>
      <c r="CB111" s="7"/>
      <c r="CC111" s="7"/>
      <c r="CD111" s="7"/>
      <c r="CE111" s="7"/>
      <c r="CF111" s="7"/>
      <c r="CG111" s="8"/>
      <c r="CH111" s="7"/>
      <c r="CI111" s="7"/>
      <c r="CJ111" s="7"/>
      <c r="CK111" s="7"/>
      <c r="CL111" s="7"/>
      <c r="CM111" s="7"/>
      <c r="CN111" s="7"/>
      <c r="CO111" s="7"/>
      <c r="CP111" s="7"/>
      <c r="CQ111" s="8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8"/>
      <c r="DG111" s="8"/>
      <c r="DH111" s="15"/>
      <c r="DI111" s="8"/>
      <c r="DJ111" s="8"/>
      <c r="DK111" s="11"/>
      <c r="DL111" s="11"/>
      <c r="DM111" s="11"/>
    </row>
    <row r="112" ht="11.25" customHeight="1">
      <c r="A112" s="11"/>
      <c r="B112" s="6"/>
      <c r="C112" s="11"/>
      <c r="D112" s="11"/>
      <c r="E112" s="11"/>
      <c r="F112" s="9"/>
      <c r="G112" s="9"/>
      <c r="H112" s="9"/>
      <c r="I112" s="16"/>
      <c r="J112" s="9"/>
      <c r="K112" s="9"/>
      <c r="L112" s="10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11"/>
      <c r="AL112" s="11"/>
      <c r="AM112" s="11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7"/>
      <c r="BU112" s="7"/>
      <c r="BV112" s="7"/>
      <c r="BW112" s="7"/>
      <c r="BX112" s="11"/>
      <c r="BY112" s="11"/>
      <c r="BZ112" s="11"/>
      <c r="CA112" s="7"/>
      <c r="CB112" s="7"/>
      <c r="CC112" s="7"/>
      <c r="CD112" s="7"/>
      <c r="CE112" s="7"/>
      <c r="CF112" s="7"/>
      <c r="CG112" s="8"/>
      <c r="CH112" s="7"/>
      <c r="CI112" s="7"/>
      <c r="CJ112" s="7"/>
      <c r="CK112" s="7"/>
      <c r="CL112" s="7"/>
      <c r="CM112" s="7"/>
      <c r="CN112" s="7"/>
      <c r="CO112" s="7"/>
      <c r="CP112" s="7"/>
      <c r="CQ112" s="8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8"/>
      <c r="DG112" s="8"/>
      <c r="DH112" s="15"/>
      <c r="DI112" s="8"/>
      <c r="DJ112" s="8"/>
      <c r="DK112" s="11"/>
      <c r="DL112" s="11"/>
      <c r="DM112" s="11"/>
    </row>
    <row r="113" ht="11.25" customHeight="1">
      <c r="A113" s="11"/>
      <c r="B113" s="6"/>
      <c r="C113" s="11"/>
      <c r="D113" s="11"/>
      <c r="E113" s="11"/>
      <c r="F113" s="9"/>
      <c r="G113" s="9"/>
      <c r="H113" s="9"/>
      <c r="I113" s="16"/>
      <c r="J113" s="9"/>
      <c r="K113" s="9"/>
      <c r="L113" s="10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11"/>
      <c r="AL113" s="11"/>
      <c r="AM113" s="11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7"/>
      <c r="BU113" s="7"/>
      <c r="BV113" s="7"/>
      <c r="BW113" s="7"/>
      <c r="BX113" s="11"/>
      <c r="BY113" s="11"/>
      <c r="BZ113" s="11"/>
      <c r="CA113" s="7"/>
      <c r="CB113" s="7"/>
      <c r="CC113" s="7"/>
      <c r="CD113" s="7"/>
      <c r="CE113" s="7"/>
      <c r="CF113" s="7"/>
      <c r="CG113" s="8"/>
      <c r="CH113" s="7"/>
      <c r="CI113" s="7"/>
      <c r="CJ113" s="7"/>
      <c r="CK113" s="7"/>
      <c r="CL113" s="7"/>
      <c r="CM113" s="7"/>
      <c r="CN113" s="7"/>
      <c r="CO113" s="7"/>
      <c r="CP113" s="7"/>
      <c r="CQ113" s="8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8"/>
      <c r="DG113" s="8"/>
      <c r="DH113" s="15"/>
      <c r="DI113" s="8"/>
      <c r="DJ113" s="8"/>
      <c r="DK113" s="11"/>
      <c r="DL113" s="11"/>
      <c r="DM113" s="11"/>
    </row>
    <row r="114" ht="11.25" customHeight="1">
      <c r="A114" s="11"/>
      <c r="B114" s="6"/>
      <c r="C114" s="11"/>
      <c r="D114" s="11"/>
      <c r="E114" s="11"/>
      <c r="F114" s="9"/>
      <c r="G114" s="9"/>
      <c r="H114" s="9"/>
      <c r="I114" s="16"/>
      <c r="J114" s="9"/>
      <c r="K114" s="9"/>
      <c r="L114" s="10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11"/>
      <c r="AL114" s="11"/>
      <c r="AM114" s="11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7"/>
      <c r="BU114" s="7"/>
      <c r="BV114" s="7"/>
      <c r="BW114" s="7"/>
      <c r="BX114" s="11"/>
      <c r="BY114" s="11"/>
      <c r="BZ114" s="11"/>
      <c r="CA114" s="7"/>
      <c r="CB114" s="7"/>
      <c r="CC114" s="7"/>
      <c r="CD114" s="7"/>
      <c r="CE114" s="7"/>
      <c r="CF114" s="7"/>
      <c r="CG114" s="8"/>
      <c r="CH114" s="7"/>
      <c r="CI114" s="7"/>
      <c r="CJ114" s="7"/>
      <c r="CK114" s="7"/>
      <c r="CL114" s="7"/>
      <c r="CM114" s="7"/>
      <c r="CN114" s="7"/>
      <c r="CO114" s="7"/>
      <c r="CP114" s="7"/>
      <c r="CQ114" s="8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8"/>
      <c r="DG114" s="8"/>
      <c r="DH114" s="15"/>
      <c r="DI114" s="8"/>
      <c r="DJ114" s="8"/>
      <c r="DK114" s="11"/>
      <c r="DL114" s="11"/>
      <c r="DM114" s="11"/>
    </row>
    <row r="115" ht="11.25" customHeight="1">
      <c r="A115" s="11"/>
      <c r="B115" s="6"/>
      <c r="C115" s="11"/>
      <c r="D115" s="11"/>
      <c r="E115" s="11"/>
      <c r="F115" s="9"/>
      <c r="G115" s="9"/>
      <c r="H115" s="9"/>
      <c r="I115" s="16"/>
      <c r="J115" s="9"/>
      <c r="K115" s="9"/>
      <c r="L115" s="10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11"/>
      <c r="AL115" s="11"/>
      <c r="AM115" s="11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7"/>
      <c r="BU115" s="7"/>
      <c r="BV115" s="7"/>
      <c r="BW115" s="7"/>
      <c r="BX115" s="11"/>
      <c r="BY115" s="11"/>
      <c r="BZ115" s="11"/>
      <c r="CA115" s="7"/>
      <c r="CB115" s="7"/>
      <c r="CC115" s="7"/>
      <c r="CD115" s="7"/>
      <c r="CE115" s="7"/>
      <c r="CF115" s="7"/>
      <c r="CG115" s="8"/>
      <c r="CH115" s="7"/>
      <c r="CI115" s="7"/>
      <c r="CJ115" s="7"/>
      <c r="CK115" s="7"/>
      <c r="CL115" s="7"/>
      <c r="CM115" s="7"/>
      <c r="CN115" s="7"/>
      <c r="CO115" s="7"/>
      <c r="CP115" s="7"/>
      <c r="CQ115" s="8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8"/>
      <c r="DG115" s="8"/>
      <c r="DH115" s="15"/>
      <c r="DI115" s="8"/>
      <c r="DJ115" s="8"/>
      <c r="DK115" s="11"/>
      <c r="DL115" s="11"/>
      <c r="DM115" s="11"/>
    </row>
    <row r="116" ht="11.25" customHeight="1">
      <c r="A116" s="11"/>
      <c r="B116" s="6"/>
      <c r="C116" s="11"/>
      <c r="D116" s="11"/>
      <c r="E116" s="11"/>
      <c r="F116" s="9"/>
      <c r="G116" s="9"/>
      <c r="H116" s="9"/>
      <c r="I116" s="16"/>
      <c r="J116" s="9"/>
      <c r="K116" s="9"/>
      <c r="L116" s="10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11"/>
      <c r="AL116" s="11"/>
      <c r="AM116" s="11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7"/>
      <c r="BU116" s="7"/>
      <c r="BV116" s="7"/>
      <c r="BW116" s="7"/>
      <c r="BX116" s="11"/>
      <c r="BY116" s="11"/>
      <c r="BZ116" s="11"/>
      <c r="CA116" s="7"/>
      <c r="CB116" s="7"/>
      <c r="CC116" s="7"/>
      <c r="CD116" s="7"/>
      <c r="CE116" s="7"/>
      <c r="CF116" s="7"/>
      <c r="CG116" s="8"/>
      <c r="CH116" s="7"/>
      <c r="CI116" s="7"/>
      <c r="CJ116" s="7"/>
      <c r="CK116" s="7"/>
      <c r="CL116" s="7"/>
      <c r="CM116" s="7"/>
      <c r="CN116" s="7"/>
      <c r="CO116" s="7"/>
      <c r="CP116" s="7"/>
      <c r="CQ116" s="8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8"/>
      <c r="DG116" s="8"/>
      <c r="DH116" s="15"/>
      <c r="DI116" s="8"/>
      <c r="DJ116" s="8"/>
      <c r="DK116" s="11"/>
      <c r="DL116" s="11"/>
      <c r="DM116" s="11"/>
    </row>
    <row r="117" ht="11.25" customHeight="1">
      <c r="A117" s="11"/>
      <c r="B117" s="6"/>
      <c r="C117" s="11"/>
      <c r="D117" s="11"/>
      <c r="E117" s="11"/>
      <c r="F117" s="9"/>
      <c r="G117" s="9"/>
      <c r="H117" s="9"/>
      <c r="I117" s="16"/>
      <c r="J117" s="9"/>
      <c r="K117" s="9"/>
      <c r="L117" s="10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11"/>
      <c r="AL117" s="11"/>
      <c r="AM117" s="11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7"/>
      <c r="BU117" s="7"/>
      <c r="BV117" s="7"/>
      <c r="BW117" s="7"/>
      <c r="BX117" s="11"/>
      <c r="BY117" s="11"/>
      <c r="BZ117" s="11"/>
      <c r="CA117" s="7"/>
      <c r="CB117" s="7"/>
      <c r="CC117" s="7"/>
      <c r="CD117" s="7"/>
      <c r="CE117" s="7"/>
      <c r="CF117" s="7"/>
      <c r="CG117" s="8"/>
      <c r="CH117" s="7"/>
      <c r="CI117" s="7"/>
      <c r="CJ117" s="7"/>
      <c r="CK117" s="7"/>
      <c r="CL117" s="7"/>
      <c r="CM117" s="7"/>
      <c r="CN117" s="7"/>
      <c r="CO117" s="7"/>
      <c r="CP117" s="7"/>
      <c r="CQ117" s="8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8"/>
      <c r="DG117" s="8"/>
      <c r="DH117" s="15"/>
      <c r="DI117" s="8"/>
      <c r="DJ117" s="8"/>
      <c r="DK117" s="11"/>
      <c r="DL117" s="11"/>
      <c r="DM117" s="11"/>
    </row>
    <row r="118" ht="11.25" customHeight="1">
      <c r="A118" s="11"/>
      <c r="B118" s="6"/>
      <c r="C118" s="11"/>
      <c r="D118" s="11"/>
      <c r="E118" s="11"/>
      <c r="F118" s="9"/>
      <c r="G118" s="9"/>
      <c r="H118" s="9"/>
      <c r="I118" s="16"/>
      <c r="J118" s="9"/>
      <c r="K118" s="9"/>
      <c r="L118" s="10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11"/>
      <c r="AL118" s="11"/>
      <c r="AM118" s="11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7"/>
      <c r="BU118" s="7"/>
      <c r="BV118" s="7"/>
      <c r="BW118" s="7"/>
      <c r="BX118" s="11"/>
      <c r="BY118" s="11"/>
      <c r="BZ118" s="11"/>
      <c r="CA118" s="7"/>
      <c r="CB118" s="7"/>
      <c r="CC118" s="7"/>
      <c r="CD118" s="7"/>
      <c r="CE118" s="7"/>
      <c r="CF118" s="7"/>
      <c r="CG118" s="8"/>
      <c r="CH118" s="7"/>
      <c r="CI118" s="7"/>
      <c r="CJ118" s="7"/>
      <c r="CK118" s="7"/>
      <c r="CL118" s="7"/>
      <c r="CM118" s="7"/>
      <c r="CN118" s="7"/>
      <c r="CO118" s="7"/>
      <c r="CP118" s="7"/>
      <c r="CQ118" s="8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8"/>
      <c r="DG118" s="8"/>
      <c r="DH118" s="15"/>
      <c r="DI118" s="8"/>
      <c r="DJ118" s="8"/>
      <c r="DK118" s="11"/>
      <c r="DL118" s="11"/>
      <c r="DM118" s="11"/>
    </row>
    <row r="119" ht="11.25" customHeight="1">
      <c r="A119" s="11"/>
      <c r="B119" s="6"/>
      <c r="C119" s="11"/>
      <c r="D119" s="11"/>
      <c r="E119" s="11"/>
      <c r="F119" s="9"/>
      <c r="G119" s="9"/>
      <c r="H119" s="9"/>
      <c r="I119" s="16"/>
      <c r="J119" s="9"/>
      <c r="K119" s="9"/>
      <c r="L119" s="10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11"/>
      <c r="AL119" s="11"/>
      <c r="AM119" s="11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7"/>
      <c r="BU119" s="7"/>
      <c r="BV119" s="7"/>
      <c r="BW119" s="7"/>
      <c r="BX119" s="11"/>
      <c r="BY119" s="11"/>
      <c r="BZ119" s="11"/>
      <c r="CA119" s="7"/>
      <c r="CB119" s="7"/>
      <c r="CC119" s="7"/>
      <c r="CD119" s="7"/>
      <c r="CE119" s="7"/>
      <c r="CF119" s="7"/>
      <c r="CG119" s="8"/>
      <c r="CH119" s="7"/>
      <c r="CI119" s="7"/>
      <c r="CJ119" s="7"/>
      <c r="CK119" s="7"/>
      <c r="CL119" s="7"/>
      <c r="CM119" s="7"/>
      <c r="CN119" s="7"/>
      <c r="CO119" s="7"/>
      <c r="CP119" s="7"/>
      <c r="CQ119" s="8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8"/>
      <c r="DG119" s="8"/>
      <c r="DH119" s="15"/>
      <c r="DI119" s="8"/>
      <c r="DJ119" s="8"/>
      <c r="DK119" s="11"/>
      <c r="DL119" s="11"/>
      <c r="DM119" s="11"/>
    </row>
    <row r="120" ht="11.25" customHeight="1">
      <c r="A120" s="11"/>
      <c r="B120" s="6"/>
      <c r="C120" s="11"/>
      <c r="D120" s="11"/>
      <c r="E120" s="11"/>
      <c r="F120" s="9"/>
      <c r="G120" s="9"/>
      <c r="H120" s="9"/>
      <c r="I120" s="16"/>
      <c r="J120" s="9"/>
      <c r="K120" s="9"/>
      <c r="L120" s="10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11"/>
      <c r="AL120" s="11"/>
      <c r="AM120" s="11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7"/>
      <c r="BU120" s="7"/>
      <c r="BV120" s="7"/>
      <c r="BW120" s="7"/>
      <c r="BX120" s="11"/>
      <c r="BY120" s="11"/>
      <c r="BZ120" s="11"/>
      <c r="CA120" s="7"/>
      <c r="CB120" s="7"/>
      <c r="CC120" s="7"/>
      <c r="CD120" s="7"/>
      <c r="CE120" s="7"/>
      <c r="CF120" s="7"/>
      <c r="CG120" s="8"/>
      <c r="CH120" s="7"/>
      <c r="CI120" s="7"/>
      <c r="CJ120" s="7"/>
      <c r="CK120" s="7"/>
      <c r="CL120" s="7"/>
      <c r="CM120" s="7"/>
      <c r="CN120" s="7"/>
      <c r="CO120" s="7"/>
      <c r="CP120" s="7"/>
      <c r="CQ120" s="8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8"/>
      <c r="DG120" s="8"/>
      <c r="DH120" s="15"/>
      <c r="DI120" s="8"/>
      <c r="DJ120" s="8"/>
      <c r="DK120" s="11"/>
      <c r="DL120" s="11"/>
      <c r="DM120" s="11"/>
    </row>
    <row r="121" ht="11.25" customHeight="1">
      <c r="A121" s="11"/>
      <c r="B121" s="6"/>
      <c r="C121" s="11"/>
      <c r="D121" s="11"/>
      <c r="E121" s="11"/>
      <c r="F121" s="9"/>
      <c r="G121" s="9"/>
      <c r="H121" s="9"/>
      <c r="I121" s="16"/>
      <c r="J121" s="9"/>
      <c r="K121" s="9"/>
      <c r="L121" s="10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11"/>
      <c r="AL121" s="11"/>
      <c r="AM121" s="11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7"/>
      <c r="BU121" s="7"/>
      <c r="BV121" s="7"/>
      <c r="BW121" s="7"/>
      <c r="BX121" s="11"/>
      <c r="BY121" s="11"/>
      <c r="BZ121" s="11"/>
      <c r="CA121" s="7"/>
      <c r="CB121" s="7"/>
      <c r="CC121" s="7"/>
      <c r="CD121" s="7"/>
      <c r="CE121" s="7"/>
      <c r="CF121" s="7"/>
      <c r="CG121" s="8"/>
      <c r="CH121" s="7"/>
      <c r="CI121" s="7"/>
      <c r="CJ121" s="7"/>
      <c r="CK121" s="7"/>
      <c r="CL121" s="7"/>
      <c r="CM121" s="7"/>
      <c r="CN121" s="7"/>
      <c r="CO121" s="7"/>
      <c r="CP121" s="7"/>
      <c r="CQ121" s="8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8"/>
      <c r="DG121" s="8"/>
      <c r="DH121" s="15"/>
      <c r="DI121" s="8"/>
      <c r="DJ121" s="8"/>
      <c r="DK121" s="11"/>
      <c r="DL121" s="11"/>
      <c r="DM121" s="11"/>
    </row>
    <row r="122" ht="11.25" customHeight="1">
      <c r="A122" s="11"/>
      <c r="B122" s="6"/>
      <c r="C122" s="11"/>
      <c r="D122" s="11"/>
      <c r="E122" s="11"/>
      <c r="F122" s="9"/>
      <c r="G122" s="9"/>
      <c r="H122" s="9"/>
      <c r="I122" s="16"/>
      <c r="J122" s="9"/>
      <c r="K122" s="9"/>
      <c r="L122" s="10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11"/>
      <c r="AL122" s="11"/>
      <c r="AM122" s="11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7"/>
      <c r="BU122" s="7"/>
      <c r="BV122" s="7"/>
      <c r="BW122" s="7"/>
      <c r="BX122" s="11"/>
      <c r="BY122" s="11"/>
      <c r="BZ122" s="11"/>
      <c r="CA122" s="7"/>
      <c r="CB122" s="7"/>
      <c r="CC122" s="7"/>
      <c r="CD122" s="7"/>
      <c r="CE122" s="7"/>
      <c r="CF122" s="7"/>
      <c r="CG122" s="8"/>
      <c r="CH122" s="7"/>
      <c r="CI122" s="7"/>
      <c r="CJ122" s="7"/>
      <c r="CK122" s="7"/>
      <c r="CL122" s="7"/>
      <c r="CM122" s="7"/>
      <c r="CN122" s="7"/>
      <c r="CO122" s="7"/>
      <c r="CP122" s="7"/>
      <c r="CQ122" s="8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8"/>
      <c r="DG122" s="8"/>
      <c r="DH122" s="15"/>
      <c r="DI122" s="8"/>
      <c r="DJ122" s="8"/>
      <c r="DK122" s="11"/>
      <c r="DL122" s="11"/>
      <c r="DM122" s="11"/>
    </row>
    <row r="123" ht="11.25" customHeight="1">
      <c r="A123" s="11"/>
      <c r="B123" s="6"/>
      <c r="C123" s="11"/>
      <c r="D123" s="11"/>
      <c r="E123" s="11"/>
      <c r="F123" s="9"/>
      <c r="G123" s="9"/>
      <c r="H123" s="9"/>
      <c r="I123" s="16"/>
      <c r="J123" s="9"/>
      <c r="K123" s="9"/>
      <c r="L123" s="10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11"/>
      <c r="AL123" s="11"/>
      <c r="AM123" s="11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7"/>
      <c r="BU123" s="7"/>
      <c r="BV123" s="7"/>
      <c r="BW123" s="7"/>
      <c r="BX123" s="11"/>
      <c r="BY123" s="11"/>
      <c r="BZ123" s="11"/>
      <c r="CA123" s="7"/>
      <c r="CB123" s="7"/>
      <c r="CC123" s="7"/>
      <c r="CD123" s="7"/>
      <c r="CE123" s="7"/>
      <c r="CF123" s="7"/>
      <c r="CG123" s="8"/>
      <c r="CH123" s="7"/>
      <c r="CI123" s="7"/>
      <c r="CJ123" s="7"/>
      <c r="CK123" s="7"/>
      <c r="CL123" s="7"/>
      <c r="CM123" s="7"/>
      <c r="CN123" s="7"/>
      <c r="CO123" s="7"/>
      <c r="CP123" s="7"/>
      <c r="CQ123" s="8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8"/>
      <c r="DG123" s="8"/>
      <c r="DH123" s="15"/>
      <c r="DI123" s="8"/>
      <c r="DJ123" s="8"/>
      <c r="DK123" s="11"/>
      <c r="DL123" s="11"/>
      <c r="DM123" s="11"/>
    </row>
    <row r="124" ht="11.25" customHeight="1">
      <c r="A124" s="11"/>
      <c r="B124" s="6"/>
      <c r="C124" s="11"/>
      <c r="D124" s="11"/>
      <c r="E124" s="11"/>
      <c r="F124" s="9"/>
      <c r="G124" s="9"/>
      <c r="H124" s="9"/>
      <c r="I124" s="16"/>
      <c r="J124" s="9"/>
      <c r="K124" s="9"/>
      <c r="L124" s="10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11"/>
      <c r="AL124" s="11"/>
      <c r="AM124" s="11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7"/>
      <c r="BU124" s="7"/>
      <c r="BV124" s="7"/>
      <c r="BW124" s="7"/>
      <c r="BX124" s="11"/>
      <c r="BY124" s="11"/>
      <c r="BZ124" s="11"/>
      <c r="CA124" s="7"/>
      <c r="CB124" s="7"/>
      <c r="CC124" s="7"/>
      <c r="CD124" s="7"/>
      <c r="CE124" s="7"/>
      <c r="CF124" s="7"/>
      <c r="CG124" s="8"/>
      <c r="CH124" s="7"/>
      <c r="CI124" s="7"/>
      <c r="CJ124" s="7"/>
      <c r="CK124" s="7"/>
      <c r="CL124" s="7"/>
      <c r="CM124" s="7"/>
      <c r="CN124" s="7"/>
      <c r="CO124" s="7"/>
      <c r="CP124" s="7"/>
      <c r="CQ124" s="8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8"/>
      <c r="DG124" s="8"/>
      <c r="DH124" s="15"/>
      <c r="DI124" s="8"/>
      <c r="DJ124" s="8"/>
      <c r="DK124" s="11"/>
      <c r="DL124" s="11"/>
      <c r="DM124" s="11"/>
    </row>
    <row r="125" ht="11.25" customHeight="1">
      <c r="A125" s="11"/>
      <c r="B125" s="6"/>
      <c r="C125" s="11"/>
      <c r="D125" s="11"/>
      <c r="E125" s="11"/>
      <c r="F125" s="9"/>
      <c r="G125" s="9"/>
      <c r="H125" s="9"/>
      <c r="I125" s="16"/>
      <c r="J125" s="9"/>
      <c r="K125" s="9"/>
      <c r="L125" s="10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11"/>
      <c r="AL125" s="11"/>
      <c r="AM125" s="11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7"/>
      <c r="BU125" s="7"/>
      <c r="BV125" s="7"/>
      <c r="BW125" s="7"/>
      <c r="BX125" s="11"/>
      <c r="BY125" s="11"/>
      <c r="BZ125" s="11"/>
      <c r="CA125" s="7"/>
      <c r="CB125" s="7"/>
      <c r="CC125" s="7"/>
      <c r="CD125" s="7"/>
      <c r="CE125" s="7"/>
      <c r="CF125" s="7"/>
      <c r="CG125" s="8"/>
      <c r="CH125" s="7"/>
      <c r="CI125" s="7"/>
      <c r="CJ125" s="7"/>
      <c r="CK125" s="7"/>
      <c r="CL125" s="7"/>
      <c r="CM125" s="7"/>
      <c r="CN125" s="7"/>
      <c r="CO125" s="7"/>
      <c r="CP125" s="7"/>
      <c r="CQ125" s="8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8"/>
      <c r="DG125" s="8"/>
      <c r="DH125" s="15"/>
      <c r="DI125" s="8"/>
      <c r="DJ125" s="8"/>
      <c r="DK125" s="11"/>
      <c r="DL125" s="11"/>
      <c r="DM125" s="11"/>
    </row>
    <row r="126" ht="11.25" customHeight="1">
      <c r="A126" s="11"/>
      <c r="B126" s="6"/>
      <c r="C126" s="11"/>
      <c r="D126" s="11"/>
      <c r="E126" s="11"/>
      <c r="F126" s="9"/>
      <c r="G126" s="9"/>
      <c r="H126" s="9"/>
      <c r="I126" s="16"/>
      <c r="J126" s="9"/>
      <c r="K126" s="9"/>
      <c r="L126" s="10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11"/>
      <c r="AL126" s="11"/>
      <c r="AM126" s="11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7"/>
      <c r="BU126" s="7"/>
      <c r="BV126" s="7"/>
      <c r="BW126" s="7"/>
      <c r="BX126" s="11"/>
      <c r="BY126" s="11"/>
      <c r="BZ126" s="11"/>
      <c r="CA126" s="7"/>
      <c r="CB126" s="7"/>
      <c r="CC126" s="7"/>
      <c r="CD126" s="7"/>
      <c r="CE126" s="7"/>
      <c r="CF126" s="7"/>
      <c r="CG126" s="8"/>
      <c r="CH126" s="7"/>
      <c r="CI126" s="7"/>
      <c r="CJ126" s="7"/>
      <c r="CK126" s="7"/>
      <c r="CL126" s="7"/>
      <c r="CM126" s="7"/>
      <c r="CN126" s="7"/>
      <c r="CO126" s="7"/>
      <c r="CP126" s="7"/>
      <c r="CQ126" s="8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8"/>
      <c r="DG126" s="8"/>
      <c r="DH126" s="15"/>
      <c r="DI126" s="8"/>
      <c r="DJ126" s="8"/>
      <c r="DK126" s="11"/>
      <c r="DL126" s="11"/>
      <c r="DM126" s="11"/>
    </row>
    <row r="127" ht="11.25" customHeight="1">
      <c r="A127" s="11"/>
      <c r="B127" s="6"/>
      <c r="C127" s="11"/>
      <c r="D127" s="11"/>
      <c r="E127" s="11"/>
      <c r="F127" s="9"/>
      <c r="G127" s="9"/>
      <c r="H127" s="9"/>
      <c r="I127" s="16"/>
      <c r="J127" s="9"/>
      <c r="K127" s="9"/>
      <c r="L127" s="10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11"/>
      <c r="AL127" s="11"/>
      <c r="AM127" s="11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7"/>
      <c r="BU127" s="7"/>
      <c r="BV127" s="7"/>
      <c r="BW127" s="7"/>
      <c r="BX127" s="11"/>
      <c r="BY127" s="11"/>
      <c r="BZ127" s="11"/>
      <c r="CA127" s="7"/>
      <c r="CB127" s="7"/>
      <c r="CC127" s="7"/>
      <c r="CD127" s="7"/>
      <c r="CE127" s="7"/>
      <c r="CF127" s="7"/>
      <c r="CG127" s="8"/>
      <c r="CH127" s="7"/>
      <c r="CI127" s="7"/>
      <c r="CJ127" s="7"/>
      <c r="CK127" s="7"/>
      <c r="CL127" s="7"/>
      <c r="CM127" s="7"/>
      <c r="CN127" s="7"/>
      <c r="CO127" s="7"/>
      <c r="CP127" s="7"/>
      <c r="CQ127" s="8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8"/>
      <c r="DG127" s="8"/>
      <c r="DH127" s="15"/>
      <c r="DI127" s="8"/>
      <c r="DJ127" s="8"/>
      <c r="DK127" s="11"/>
      <c r="DL127" s="11"/>
      <c r="DM127" s="11"/>
    </row>
    <row r="128" ht="11.25" customHeight="1">
      <c r="A128" s="11"/>
      <c r="B128" s="6"/>
      <c r="C128" s="11"/>
      <c r="D128" s="11"/>
      <c r="E128" s="11"/>
      <c r="F128" s="9"/>
      <c r="G128" s="9"/>
      <c r="H128" s="9"/>
      <c r="I128" s="16"/>
      <c r="J128" s="9"/>
      <c r="K128" s="9"/>
      <c r="L128" s="10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11"/>
      <c r="AL128" s="11"/>
      <c r="AM128" s="11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7"/>
      <c r="BU128" s="7"/>
      <c r="BV128" s="7"/>
      <c r="BW128" s="7"/>
      <c r="BX128" s="11"/>
      <c r="BY128" s="11"/>
      <c r="BZ128" s="11"/>
      <c r="CA128" s="7"/>
      <c r="CB128" s="7"/>
      <c r="CC128" s="7"/>
      <c r="CD128" s="7"/>
      <c r="CE128" s="7"/>
      <c r="CF128" s="7"/>
      <c r="CG128" s="8"/>
      <c r="CH128" s="7"/>
      <c r="CI128" s="7"/>
      <c r="CJ128" s="7"/>
      <c r="CK128" s="7"/>
      <c r="CL128" s="7"/>
      <c r="CM128" s="7"/>
      <c r="CN128" s="7"/>
      <c r="CO128" s="7"/>
      <c r="CP128" s="7"/>
      <c r="CQ128" s="8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8"/>
      <c r="DG128" s="8"/>
      <c r="DH128" s="15"/>
      <c r="DI128" s="8"/>
      <c r="DJ128" s="8"/>
      <c r="DK128" s="11"/>
      <c r="DL128" s="11"/>
      <c r="DM128" s="11"/>
    </row>
    <row r="129" ht="11.25" customHeight="1">
      <c r="A129" s="11"/>
      <c r="B129" s="6"/>
      <c r="C129" s="11"/>
      <c r="D129" s="11"/>
      <c r="E129" s="11"/>
      <c r="F129" s="9"/>
      <c r="G129" s="9"/>
      <c r="H129" s="9"/>
      <c r="I129" s="16"/>
      <c r="J129" s="9"/>
      <c r="K129" s="9"/>
      <c r="L129" s="10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11"/>
      <c r="AL129" s="11"/>
      <c r="AM129" s="11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7"/>
      <c r="BU129" s="7"/>
      <c r="BV129" s="7"/>
      <c r="BW129" s="7"/>
      <c r="BX129" s="11"/>
      <c r="BY129" s="11"/>
      <c r="BZ129" s="11"/>
      <c r="CA129" s="7"/>
      <c r="CB129" s="7"/>
      <c r="CC129" s="7"/>
      <c r="CD129" s="7"/>
      <c r="CE129" s="7"/>
      <c r="CF129" s="7"/>
      <c r="CG129" s="8"/>
      <c r="CH129" s="7"/>
      <c r="CI129" s="7"/>
      <c r="CJ129" s="7"/>
      <c r="CK129" s="7"/>
      <c r="CL129" s="7"/>
      <c r="CM129" s="7"/>
      <c r="CN129" s="7"/>
      <c r="CO129" s="7"/>
      <c r="CP129" s="7"/>
      <c r="CQ129" s="8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8"/>
      <c r="DG129" s="8"/>
      <c r="DH129" s="15"/>
      <c r="DI129" s="8"/>
      <c r="DJ129" s="8"/>
      <c r="DK129" s="11"/>
      <c r="DL129" s="11"/>
      <c r="DM129" s="11"/>
    </row>
    <row r="130" ht="11.25" customHeight="1">
      <c r="A130" s="11"/>
      <c r="B130" s="6"/>
      <c r="C130" s="11"/>
      <c r="D130" s="11"/>
      <c r="E130" s="11"/>
      <c r="F130" s="9"/>
      <c r="G130" s="9"/>
      <c r="H130" s="9"/>
      <c r="I130" s="16"/>
      <c r="J130" s="9"/>
      <c r="K130" s="9"/>
      <c r="L130" s="10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11"/>
      <c r="AL130" s="11"/>
      <c r="AM130" s="11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7"/>
      <c r="BU130" s="7"/>
      <c r="BV130" s="7"/>
      <c r="BW130" s="7"/>
      <c r="BX130" s="11"/>
      <c r="BY130" s="11"/>
      <c r="BZ130" s="11"/>
      <c r="CA130" s="7"/>
      <c r="CB130" s="7"/>
      <c r="CC130" s="7"/>
      <c r="CD130" s="7"/>
      <c r="CE130" s="7"/>
      <c r="CF130" s="7"/>
      <c r="CG130" s="8"/>
      <c r="CH130" s="7"/>
      <c r="CI130" s="7"/>
      <c r="CJ130" s="7"/>
      <c r="CK130" s="7"/>
      <c r="CL130" s="7"/>
      <c r="CM130" s="7"/>
      <c r="CN130" s="7"/>
      <c r="CO130" s="7"/>
      <c r="CP130" s="7"/>
      <c r="CQ130" s="8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8"/>
      <c r="DG130" s="8"/>
      <c r="DH130" s="15"/>
      <c r="DI130" s="8"/>
      <c r="DJ130" s="8"/>
      <c r="DK130" s="11"/>
      <c r="DL130" s="11"/>
      <c r="DM130" s="11"/>
    </row>
    <row r="131" ht="11.25" customHeight="1">
      <c r="A131" s="11"/>
      <c r="B131" s="6"/>
      <c r="C131" s="11"/>
      <c r="D131" s="11"/>
      <c r="E131" s="11"/>
      <c r="F131" s="9"/>
      <c r="G131" s="9"/>
      <c r="H131" s="9"/>
      <c r="I131" s="16"/>
      <c r="J131" s="9"/>
      <c r="K131" s="9"/>
      <c r="L131" s="10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11"/>
      <c r="AL131" s="11"/>
      <c r="AM131" s="11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7"/>
      <c r="BU131" s="7"/>
      <c r="BV131" s="7"/>
      <c r="BW131" s="7"/>
      <c r="BX131" s="11"/>
      <c r="BY131" s="11"/>
      <c r="BZ131" s="11"/>
      <c r="CA131" s="7"/>
      <c r="CB131" s="7"/>
      <c r="CC131" s="7"/>
      <c r="CD131" s="7"/>
      <c r="CE131" s="7"/>
      <c r="CF131" s="7"/>
      <c r="CG131" s="8"/>
      <c r="CH131" s="7"/>
      <c r="CI131" s="7"/>
      <c r="CJ131" s="7"/>
      <c r="CK131" s="7"/>
      <c r="CL131" s="7"/>
      <c r="CM131" s="7"/>
      <c r="CN131" s="7"/>
      <c r="CO131" s="7"/>
      <c r="CP131" s="7"/>
      <c r="CQ131" s="8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8"/>
      <c r="DG131" s="8"/>
      <c r="DH131" s="15"/>
      <c r="DI131" s="8"/>
      <c r="DJ131" s="8"/>
      <c r="DK131" s="11"/>
      <c r="DL131" s="11"/>
      <c r="DM131" s="11"/>
    </row>
    <row r="132" ht="11.25" customHeight="1">
      <c r="A132" s="11"/>
      <c r="B132" s="6"/>
      <c r="C132" s="11"/>
      <c r="D132" s="11"/>
      <c r="E132" s="11"/>
      <c r="F132" s="9"/>
      <c r="G132" s="9"/>
      <c r="H132" s="9"/>
      <c r="I132" s="16"/>
      <c r="J132" s="9"/>
      <c r="K132" s="9"/>
      <c r="L132" s="10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1"/>
      <c r="AL132" s="11"/>
      <c r="AM132" s="11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7"/>
      <c r="BU132" s="7"/>
      <c r="BV132" s="7"/>
      <c r="BW132" s="7"/>
      <c r="BX132" s="11"/>
      <c r="BY132" s="11"/>
      <c r="BZ132" s="11"/>
      <c r="CA132" s="7"/>
      <c r="CB132" s="7"/>
      <c r="CC132" s="7"/>
      <c r="CD132" s="7"/>
      <c r="CE132" s="7"/>
      <c r="CF132" s="7"/>
      <c r="CG132" s="8"/>
      <c r="CH132" s="7"/>
      <c r="CI132" s="7"/>
      <c r="CJ132" s="7"/>
      <c r="CK132" s="7"/>
      <c r="CL132" s="7"/>
      <c r="CM132" s="7"/>
      <c r="CN132" s="7"/>
      <c r="CO132" s="7"/>
      <c r="CP132" s="7"/>
      <c r="CQ132" s="8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8"/>
      <c r="DG132" s="8"/>
      <c r="DH132" s="15"/>
      <c r="DI132" s="8"/>
      <c r="DJ132" s="8"/>
      <c r="DK132" s="11"/>
      <c r="DL132" s="11"/>
      <c r="DM132" s="11"/>
    </row>
    <row r="133" ht="11.25" customHeight="1">
      <c r="A133" s="11"/>
      <c r="B133" s="6"/>
      <c r="C133" s="11"/>
      <c r="D133" s="11"/>
      <c r="E133" s="11"/>
      <c r="F133" s="9"/>
      <c r="G133" s="9"/>
      <c r="H133" s="9"/>
      <c r="I133" s="16"/>
      <c r="J133" s="9"/>
      <c r="K133" s="9"/>
      <c r="L133" s="10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11"/>
      <c r="AL133" s="11"/>
      <c r="AM133" s="11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7"/>
      <c r="BU133" s="7"/>
      <c r="BV133" s="7"/>
      <c r="BW133" s="7"/>
      <c r="BX133" s="11"/>
      <c r="BY133" s="11"/>
      <c r="BZ133" s="11"/>
      <c r="CA133" s="7"/>
      <c r="CB133" s="7"/>
      <c r="CC133" s="7"/>
      <c r="CD133" s="7"/>
      <c r="CE133" s="7"/>
      <c r="CF133" s="7"/>
      <c r="CG133" s="8"/>
      <c r="CH133" s="7"/>
      <c r="CI133" s="7"/>
      <c r="CJ133" s="7"/>
      <c r="CK133" s="7"/>
      <c r="CL133" s="7"/>
      <c r="CM133" s="7"/>
      <c r="CN133" s="7"/>
      <c r="CO133" s="7"/>
      <c r="CP133" s="7"/>
      <c r="CQ133" s="8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8"/>
      <c r="DG133" s="8"/>
      <c r="DH133" s="15"/>
      <c r="DI133" s="8"/>
      <c r="DJ133" s="8"/>
      <c r="DK133" s="11"/>
      <c r="DL133" s="11"/>
      <c r="DM133" s="11"/>
    </row>
    <row r="134" ht="11.25" customHeight="1">
      <c r="A134" s="11"/>
      <c r="B134" s="6"/>
      <c r="C134" s="11"/>
      <c r="D134" s="11"/>
      <c r="E134" s="11"/>
      <c r="F134" s="9"/>
      <c r="G134" s="9"/>
      <c r="H134" s="9"/>
      <c r="I134" s="16"/>
      <c r="J134" s="9"/>
      <c r="K134" s="9"/>
      <c r="L134" s="10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1"/>
      <c r="AL134" s="11"/>
      <c r="AM134" s="11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7"/>
      <c r="BU134" s="7"/>
      <c r="BV134" s="7"/>
      <c r="BW134" s="7"/>
      <c r="BX134" s="11"/>
      <c r="BY134" s="11"/>
      <c r="BZ134" s="11"/>
      <c r="CA134" s="7"/>
      <c r="CB134" s="7"/>
      <c r="CC134" s="7"/>
      <c r="CD134" s="7"/>
      <c r="CE134" s="7"/>
      <c r="CF134" s="7"/>
      <c r="CG134" s="8"/>
      <c r="CH134" s="7"/>
      <c r="CI134" s="7"/>
      <c r="CJ134" s="7"/>
      <c r="CK134" s="7"/>
      <c r="CL134" s="7"/>
      <c r="CM134" s="7"/>
      <c r="CN134" s="7"/>
      <c r="CO134" s="7"/>
      <c r="CP134" s="7"/>
      <c r="CQ134" s="8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8"/>
      <c r="DG134" s="8"/>
      <c r="DH134" s="15"/>
      <c r="DI134" s="8"/>
      <c r="DJ134" s="8"/>
      <c r="DK134" s="11"/>
      <c r="DL134" s="11"/>
      <c r="DM134" s="11"/>
    </row>
    <row r="135" ht="11.25" customHeight="1">
      <c r="A135" s="11"/>
      <c r="B135" s="6"/>
      <c r="C135" s="11"/>
      <c r="D135" s="11"/>
      <c r="E135" s="11"/>
      <c r="F135" s="9"/>
      <c r="G135" s="9"/>
      <c r="H135" s="9"/>
      <c r="I135" s="16"/>
      <c r="J135" s="9"/>
      <c r="K135" s="9"/>
      <c r="L135" s="10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1"/>
      <c r="AL135" s="11"/>
      <c r="AM135" s="11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7"/>
      <c r="BU135" s="7"/>
      <c r="BV135" s="7"/>
      <c r="BW135" s="7"/>
      <c r="BX135" s="11"/>
      <c r="BY135" s="11"/>
      <c r="BZ135" s="11"/>
      <c r="CA135" s="7"/>
      <c r="CB135" s="7"/>
      <c r="CC135" s="7"/>
      <c r="CD135" s="7"/>
      <c r="CE135" s="7"/>
      <c r="CF135" s="7"/>
      <c r="CG135" s="8"/>
      <c r="CH135" s="7"/>
      <c r="CI135" s="7"/>
      <c r="CJ135" s="7"/>
      <c r="CK135" s="7"/>
      <c r="CL135" s="7"/>
      <c r="CM135" s="7"/>
      <c r="CN135" s="7"/>
      <c r="CO135" s="7"/>
      <c r="CP135" s="7"/>
      <c r="CQ135" s="8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8"/>
      <c r="DG135" s="8"/>
      <c r="DH135" s="15"/>
      <c r="DI135" s="8"/>
      <c r="DJ135" s="8"/>
      <c r="DK135" s="11"/>
      <c r="DL135" s="11"/>
      <c r="DM135" s="11"/>
    </row>
    <row r="136" ht="11.25" customHeight="1">
      <c r="A136" s="11"/>
      <c r="B136" s="6"/>
      <c r="C136" s="11"/>
      <c r="D136" s="11"/>
      <c r="E136" s="11"/>
      <c r="F136" s="9"/>
      <c r="G136" s="9"/>
      <c r="H136" s="9"/>
      <c r="I136" s="16"/>
      <c r="J136" s="9"/>
      <c r="K136" s="9"/>
      <c r="L136" s="10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1"/>
      <c r="AL136" s="11"/>
      <c r="AM136" s="11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7"/>
      <c r="BU136" s="7"/>
      <c r="BV136" s="7"/>
      <c r="BW136" s="7"/>
      <c r="BX136" s="11"/>
      <c r="BY136" s="11"/>
      <c r="BZ136" s="11"/>
      <c r="CA136" s="7"/>
      <c r="CB136" s="7"/>
      <c r="CC136" s="7"/>
      <c r="CD136" s="7"/>
      <c r="CE136" s="7"/>
      <c r="CF136" s="7"/>
      <c r="CG136" s="8"/>
      <c r="CH136" s="7"/>
      <c r="CI136" s="7"/>
      <c r="CJ136" s="7"/>
      <c r="CK136" s="7"/>
      <c r="CL136" s="7"/>
      <c r="CM136" s="7"/>
      <c r="CN136" s="7"/>
      <c r="CO136" s="7"/>
      <c r="CP136" s="7"/>
      <c r="CQ136" s="8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8"/>
      <c r="DG136" s="8"/>
      <c r="DH136" s="15"/>
      <c r="DI136" s="8"/>
      <c r="DJ136" s="8"/>
      <c r="DK136" s="11"/>
      <c r="DL136" s="11"/>
      <c r="DM136" s="11"/>
    </row>
    <row r="137" ht="11.25" customHeight="1">
      <c r="A137" s="11"/>
      <c r="B137" s="6"/>
      <c r="C137" s="11"/>
      <c r="D137" s="11"/>
      <c r="E137" s="11"/>
      <c r="F137" s="9"/>
      <c r="G137" s="9"/>
      <c r="H137" s="9"/>
      <c r="I137" s="16"/>
      <c r="J137" s="9"/>
      <c r="K137" s="9"/>
      <c r="L137" s="10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11"/>
      <c r="AL137" s="11"/>
      <c r="AM137" s="11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7"/>
      <c r="BU137" s="7"/>
      <c r="BV137" s="7"/>
      <c r="BW137" s="7"/>
      <c r="BX137" s="11"/>
      <c r="BY137" s="11"/>
      <c r="BZ137" s="11"/>
      <c r="CA137" s="7"/>
      <c r="CB137" s="7"/>
      <c r="CC137" s="7"/>
      <c r="CD137" s="7"/>
      <c r="CE137" s="7"/>
      <c r="CF137" s="7"/>
      <c r="CG137" s="8"/>
      <c r="CH137" s="7"/>
      <c r="CI137" s="7"/>
      <c r="CJ137" s="7"/>
      <c r="CK137" s="7"/>
      <c r="CL137" s="7"/>
      <c r="CM137" s="7"/>
      <c r="CN137" s="7"/>
      <c r="CO137" s="7"/>
      <c r="CP137" s="7"/>
      <c r="CQ137" s="8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8"/>
      <c r="DG137" s="8"/>
      <c r="DH137" s="15"/>
      <c r="DI137" s="8"/>
      <c r="DJ137" s="8"/>
      <c r="DK137" s="11"/>
      <c r="DL137" s="11"/>
      <c r="DM137" s="11"/>
    </row>
    <row r="138" ht="11.25" customHeight="1">
      <c r="A138" s="11"/>
      <c r="B138" s="6"/>
      <c r="C138" s="11"/>
      <c r="D138" s="11"/>
      <c r="E138" s="11"/>
      <c r="F138" s="9"/>
      <c r="G138" s="9"/>
      <c r="H138" s="9"/>
      <c r="I138" s="16"/>
      <c r="J138" s="9"/>
      <c r="K138" s="9"/>
      <c r="L138" s="10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11"/>
      <c r="AL138" s="11"/>
      <c r="AM138" s="11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7"/>
      <c r="BU138" s="7"/>
      <c r="BV138" s="7"/>
      <c r="BW138" s="7"/>
      <c r="BX138" s="11"/>
      <c r="BY138" s="11"/>
      <c r="BZ138" s="11"/>
      <c r="CA138" s="7"/>
      <c r="CB138" s="7"/>
      <c r="CC138" s="7"/>
      <c r="CD138" s="7"/>
      <c r="CE138" s="7"/>
      <c r="CF138" s="7"/>
      <c r="CG138" s="8"/>
      <c r="CH138" s="7"/>
      <c r="CI138" s="7"/>
      <c r="CJ138" s="7"/>
      <c r="CK138" s="7"/>
      <c r="CL138" s="7"/>
      <c r="CM138" s="7"/>
      <c r="CN138" s="7"/>
      <c r="CO138" s="7"/>
      <c r="CP138" s="7"/>
      <c r="CQ138" s="8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8"/>
      <c r="DG138" s="8"/>
      <c r="DH138" s="15"/>
      <c r="DI138" s="8"/>
      <c r="DJ138" s="8"/>
      <c r="DK138" s="11"/>
      <c r="DL138" s="11"/>
      <c r="DM138" s="11"/>
    </row>
    <row r="139" ht="11.25" customHeight="1">
      <c r="A139" s="11"/>
      <c r="B139" s="6"/>
      <c r="C139" s="11"/>
      <c r="D139" s="11"/>
      <c r="E139" s="11"/>
      <c r="F139" s="9"/>
      <c r="G139" s="9"/>
      <c r="H139" s="9"/>
      <c r="I139" s="16"/>
      <c r="J139" s="9"/>
      <c r="K139" s="9"/>
      <c r="L139" s="10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11"/>
      <c r="AL139" s="11"/>
      <c r="AM139" s="11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7"/>
      <c r="BU139" s="7"/>
      <c r="BV139" s="7"/>
      <c r="BW139" s="7"/>
      <c r="BX139" s="11"/>
      <c r="BY139" s="11"/>
      <c r="BZ139" s="11"/>
      <c r="CA139" s="7"/>
      <c r="CB139" s="7"/>
      <c r="CC139" s="7"/>
      <c r="CD139" s="7"/>
      <c r="CE139" s="7"/>
      <c r="CF139" s="7"/>
      <c r="CG139" s="8"/>
      <c r="CH139" s="7"/>
      <c r="CI139" s="7"/>
      <c r="CJ139" s="7"/>
      <c r="CK139" s="7"/>
      <c r="CL139" s="7"/>
      <c r="CM139" s="7"/>
      <c r="CN139" s="7"/>
      <c r="CO139" s="7"/>
      <c r="CP139" s="7"/>
      <c r="CQ139" s="8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8"/>
      <c r="DG139" s="8"/>
      <c r="DH139" s="15"/>
      <c r="DI139" s="8"/>
      <c r="DJ139" s="8"/>
      <c r="DK139" s="11"/>
      <c r="DL139" s="11"/>
      <c r="DM139" s="11"/>
    </row>
    <row r="140" ht="11.25" customHeight="1">
      <c r="A140" s="11"/>
      <c r="B140" s="6"/>
      <c r="C140" s="11"/>
      <c r="D140" s="11"/>
      <c r="E140" s="11"/>
      <c r="F140" s="9"/>
      <c r="G140" s="9"/>
      <c r="H140" s="9"/>
      <c r="I140" s="16"/>
      <c r="J140" s="9"/>
      <c r="K140" s="9"/>
      <c r="L140" s="10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11"/>
      <c r="AL140" s="11"/>
      <c r="AM140" s="11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7"/>
      <c r="BU140" s="7"/>
      <c r="BV140" s="7"/>
      <c r="BW140" s="7"/>
      <c r="BX140" s="11"/>
      <c r="BY140" s="11"/>
      <c r="BZ140" s="11"/>
      <c r="CA140" s="7"/>
      <c r="CB140" s="7"/>
      <c r="CC140" s="7"/>
      <c r="CD140" s="7"/>
      <c r="CE140" s="7"/>
      <c r="CF140" s="7"/>
      <c r="CG140" s="8"/>
      <c r="CH140" s="7"/>
      <c r="CI140" s="7"/>
      <c r="CJ140" s="7"/>
      <c r="CK140" s="7"/>
      <c r="CL140" s="7"/>
      <c r="CM140" s="7"/>
      <c r="CN140" s="7"/>
      <c r="CO140" s="7"/>
      <c r="CP140" s="7"/>
      <c r="CQ140" s="8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8"/>
      <c r="DG140" s="8"/>
      <c r="DH140" s="15"/>
      <c r="DI140" s="8"/>
      <c r="DJ140" s="8"/>
      <c r="DK140" s="11"/>
      <c r="DL140" s="11"/>
      <c r="DM140" s="11"/>
    </row>
    <row r="141" ht="11.25" customHeight="1">
      <c r="A141" s="11"/>
      <c r="B141" s="6"/>
      <c r="C141" s="11"/>
      <c r="D141" s="11"/>
      <c r="E141" s="11"/>
      <c r="F141" s="9"/>
      <c r="G141" s="9"/>
      <c r="H141" s="9"/>
      <c r="I141" s="16"/>
      <c r="J141" s="9"/>
      <c r="K141" s="9"/>
      <c r="L141" s="10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11"/>
      <c r="AL141" s="11"/>
      <c r="AM141" s="11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7"/>
      <c r="BU141" s="7"/>
      <c r="BV141" s="7"/>
      <c r="BW141" s="7"/>
      <c r="BX141" s="11"/>
      <c r="BY141" s="11"/>
      <c r="BZ141" s="11"/>
      <c r="CA141" s="7"/>
      <c r="CB141" s="7"/>
      <c r="CC141" s="7"/>
      <c r="CD141" s="7"/>
      <c r="CE141" s="7"/>
      <c r="CF141" s="7"/>
      <c r="CG141" s="8"/>
      <c r="CH141" s="7"/>
      <c r="CI141" s="7"/>
      <c r="CJ141" s="7"/>
      <c r="CK141" s="7"/>
      <c r="CL141" s="7"/>
      <c r="CM141" s="7"/>
      <c r="CN141" s="7"/>
      <c r="CO141" s="7"/>
      <c r="CP141" s="7"/>
      <c r="CQ141" s="8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8"/>
      <c r="DG141" s="8"/>
      <c r="DH141" s="15"/>
      <c r="DI141" s="8"/>
      <c r="DJ141" s="8"/>
      <c r="DK141" s="11"/>
      <c r="DL141" s="11"/>
      <c r="DM141" s="11"/>
    </row>
    <row r="142" ht="11.25" customHeight="1">
      <c r="A142" s="11"/>
      <c r="B142" s="6"/>
      <c r="C142" s="11"/>
      <c r="D142" s="11"/>
      <c r="E142" s="11"/>
      <c r="F142" s="9"/>
      <c r="G142" s="9"/>
      <c r="H142" s="9"/>
      <c r="I142" s="16"/>
      <c r="J142" s="9"/>
      <c r="K142" s="9"/>
      <c r="L142" s="10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11"/>
      <c r="AL142" s="11"/>
      <c r="AM142" s="11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7"/>
      <c r="BU142" s="7"/>
      <c r="BV142" s="7"/>
      <c r="BW142" s="7"/>
      <c r="BX142" s="11"/>
      <c r="BY142" s="11"/>
      <c r="BZ142" s="11"/>
      <c r="CA142" s="7"/>
      <c r="CB142" s="7"/>
      <c r="CC142" s="7"/>
      <c r="CD142" s="7"/>
      <c r="CE142" s="7"/>
      <c r="CF142" s="7"/>
      <c r="CG142" s="8"/>
      <c r="CH142" s="7"/>
      <c r="CI142" s="7"/>
      <c r="CJ142" s="7"/>
      <c r="CK142" s="7"/>
      <c r="CL142" s="7"/>
      <c r="CM142" s="7"/>
      <c r="CN142" s="7"/>
      <c r="CO142" s="7"/>
      <c r="CP142" s="7"/>
      <c r="CQ142" s="8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8"/>
      <c r="DG142" s="8"/>
      <c r="DH142" s="15"/>
      <c r="DI142" s="8"/>
      <c r="DJ142" s="8"/>
      <c r="DK142" s="11"/>
      <c r="DL142" s="11"/>
      <c r="DM142" s="11"/>
    </row>
    <row r="143" ht="11.25" customHeight="1">
      <c r="A143" s="11"/>
      <c r="B143" s="6"/>
      <c r="C143" s="11"/>
      <c r="D143" s="11"/>
      <c r="E143" s="11"/>
      <c r="F143" s="9"/>
      <c r="G143" s="9"/>
      <c r="H143" s="9"/>
      <c r="I143" s="16"/>
      <c r="J143" s="9"/>
      <c r="K143" s="9"/>
      <c r="L143" s="10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11"/>
      <c r="AL143" s="11"/>
      <c r="AM143" s="11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7"/>
      <c r="BU143" s="7"/>
      <c r="BV143" s="7"/>
      <c r="BW143" s="7"/>
      <c r="BX143" s="11"/>
      <c r="BY143" s="11"/>
      <c r="BZ143" s="11"/>
      <c r="CA143" s="7"/>
      <c r="CB143" s="7"/>
      <c r="CC143" s="7"/>
      <c r="CD143" s="7"/>
      <c r="CE143" s="7"/>
      <c r="CF143" s="7"/>
      <c r="CG143" s="8"/>
      <c r="CH143" s="7"/>
      <c r="CI143" s="7"/>
      <c r="CJ143" s="7"/>
      <c r="CK143" s="7"/>
      <c r="CL143" s="7"/>
      <c r="CM143" s="7"/>
      <c r="CN143" s="7"/>
      <c r="CO143" s="7"/>
      <c r="CP143" s="7"/>
      <c r="CQ143" s="8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8"/>
      <c r="DG143" s="8"/>
      <c r="DH143" s="15"/>
      <c r="DI143" s="8"/>
      <c r="DJ143" s="8"/>
      <c r="DK143" s="11"/>
      <c r="DL143" s="11"/>
      <c r="DM143" s="11"/>
    </row>
    <row r="144" ht="11.25" customHeight="1">
      <c r="A144" s="11"/>
      <c r="B144" s="6"/>
      <c r="C144" s="11"/>
      <c r="D144" s="11"/>
      <c r="E144" s="11"/>
      <c r="F144" s="9"/>
      <c r="G144" s="9"/>
      <c r="H144" s="9"/>
      <c r="I144" s="16"/>
      <c r="J144" s="9"/>
      <c r="K144" s="9"/>
      <c r="L144" s="10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11"/>
      <c r="AL144" s="11"/>
      <c r="AM144" s="11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7"/>
      <c r="BU144" s="7"/>
      <c r="BV144" s="7"/>
      <c r="BW144" s="7"/>
      <c r="BX144" s="11"/>
      <c r="BY144" s="11"/>
      <c r="BZ144" s="11"/>
      <c r="CA144" s="7"/>
      <c r="CB144" s="7"/>
      <c r="CC144" s="7"/>
      <c r="CD144" s="7"/>
      <c r="CE144" s="7"/>
      <c r="CF144" s="7"/>
      <c r="CG144" s="8"/>
      <c r="CH144" s="7"/>
      <c r="CI144" s="7"/>
      <c r="CJ144" s="7"/>
      <c r="CK144" s="7"/>
      <c r="CL144" s="7"/>
      <c r="CM144" s="7"/>
      <c r="CN144" s="7"/>
      <c r="CO144" s="7"/>
      <c r="CP144" s="7"/>
      <c r="CQ144" s="8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8"/>
      <c r="DG144" s="8"/>
      <c r="DH144" s="15"/>
      <c r="DI144" s="8"/>
      <c r="DJ144" s="8"/>
      <c r="DK144" s="11"/>
      <c r="DL144" s="11"/>
      <c r="DM144" s="11"/>
    </row>
    <row r="145" ht="11.25" customHeight="1">
      <c r="A145" s="11"/>
      <c r="B145" s="6"/>
      <c r="C145" s="11"/>
      <c r="D145" s="11"/>
      <c r="E145" s="11"/>
      <c r="F145" s="9"/>
      <c r="G145" s="9"/>
      <c r="H145" s="9"/>
      <c r="I145" s="16"/>
      <c r="J145" s="9"/>
      <c r="K145" s="9"/>
      <c r="L145" s="10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11"/>
      <c r="AL145" s="11"/>
      <c r="AM145" s="11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7"/>
      <c r="BU145" s="7"/>
      <c r="BV145" s="7"/>
      <c r="BW145" s="7"/>
      <c r="BX145" s="11"/>
      <c r="BY145" s="11"/>
      <c r="BZ145" s="11"/>
      <c r="CA145" s="7"/>
      <c r="CB145" s="7"/>
      <c r="CC145" s="7"/>
      <c r="CD145" s="7"/>
      <c r="CE145" s="7"/>
      <c r="CF145" s="7"/>
      <c r="CG145" s="8"/>
      <c r="CH145" s="7"/>
      <c r="CI145" s="7"/>
      <c r="CJ145" s="7"/>
      <c r="CK145" s="7"/>
      <c r="CL145" s="7"/>
      <c r="CM145" s="7"/>
      <c r="CN145" s="7"/>
      <c r="CO145" s="7"/>
      <c r="CP145" s="7"/>
      <c r="CQ145" s="8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8"/>
      <c r="DG145" s="8"/>
      <c r="DH145" s="15"/>
      <c r="DI145" s="8"/>
      <c r="DJ145" s="8"/>
      <c r="DK145" s="11"/>
      <c r="DL145" s="11"/>
      <c r="DM145" s="11"/>
    </row>
    <row r="146" ht="11.25" customHeight="1">
      <c r="A146" s="11"/>
      <c r="B146" s="6"/>
      <c r="C146" s="11"/>
      <c r="D146" s="11"/>
      <c r="E146" s="11"/>
      <c r="F146" s="9"/>
      <c r="G146" s="9"/>
      <c r="H146" s="9"/>
      <c r="I146" s="16"/>
      <c r="J146" s="9"/>
      <c r="K146" s="9"/>
      <c r="L146" s="10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11"/>
      <c r="AL146" s="11"/>
      <c r="AM146" s="11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7"/>
      <c r="BU146" s="7"/>
      <c r="BV146" s="7"/>
      <c r="BW146" s="7"/>
      <c r="BX146" s="11"/>
      <c r="BY146" s="11"/>
      <c r="BZ146" s="11"/>
      <c r="CA146" s="7"/>
      <c r="CB146" s="7"/>
      <c r="CC146" s="7"/>
      <c r="CD146" s="7"/>
      <c r="CE146" s="7"/>
      <c r="CF146" s="7"/>
      <c r="CG146" s="8"/>
      <c r="CH146" s="7"/>
      <c r="CI146" s="7"/>
      <c r="CJ146" s="7"/>
      <c r="CK146" s="7"/>
      <c r="CL146" s="7"/>
      <c r="CM146" s="7"/>
      <c r="CN146" s="7"/>
      <c r="CO146" s="7"/>
      <c r="CP146" s="7"/>
      <c r="CQ146" s="8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8"/>
      <c r="DG146" s="8"/>
      <c r="DH146" s="15"/>
      <c r="DI146" s="8"/>
      <c r="DJ146" s="8"/>
      <c r="DK146" s="11"/>
      <c r="DL146" s="11"/>
      <c r="DM146" s="11"/>
    </row>
    <row r="147" ht="11.25" customHeight="1">
      <c r="A147" s="11"/>
      <c r="B147" s="6"/>
      <c r="C147" s="11"/>
      <c r="D147" s="11"/>
      <c r="E147" s="11"/>
      <c r="F147" s="9"/>
      <c r="G147" s="9"/>
      <c r="H147" s="9"/>
      <c r="I147" s="16"/>
      <c r="J147" s="9"/>
      <c r="K147" s="9"/>
      <c r="L147" s="10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11"/>
      <c r="AL147" s="11"/>
      <c r="AM147" s="11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7"/>
      <c r="BU147" s="7"/>
      <c r="BV147" s="7"/>
      <c r="BW147" s="7"/>
      <c r="BX147" s="11"/>
      <c r="BY147" s="11"/>
      <c r="BZ147" s="11"/>
      <c r="CA147" s="7"/>
      <c r="CB147" s="7"/>
      <c r="CC147" s="7"/>
      <c r="CD147" s="7"/>
      <c r="CE147" s="7"/>
      <c r="CF147" s="7"/>
      <c r="CG147" s="8"/>
      <c r="CH147" s="7"/>
      <c r="CI147" s="7"/>
      <c r="CJ147" s="7"/>
      <c r="CK147" s="7"/>
      <c r="CL147" s="7"/>
      <c r="CM147" s="7"/>
      <c r="CN147" s="7"/>
      <c r="CO147" s="7"/>
      <c r="CP147" s="7"/>
      <c r="CQ147" s="8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8"/>
      <c r="DG147" s="8"/>
      <c r="DH147" s="15"/>
      <c r="DI147" s="8"/>
      <c r="DJ147" s="8"/>
      <c r="DK147" s="11"/>
      <c r="DL147" s="11"/>
      <c r="DM147" s="11"/>
    </row>
    <row r="148" ht="11.25" customHeight="1">
      <c r="A148" s="11"/>
      <c r="B148" s="6"/>
      <c r="C148" s="11"/>
      <c r="D148" s="11"/>
      <c r="E148" s="11"/>
      <c r="F148" s="9"/>
      <c r="G148" s="9"/>
      <c r="H148" s="9"/>
      <c r="I148" s="16"/>
      <c r="J148" s="9"/>
      <c r="K148" s="9"/>
      <c r="L148" s="10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11"/>
      <c r="AL148" s="11"/>
      <c r="AM148" s="11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7"/>
      <c r="BU148" s="7"/>
      <c r="BV148" s="7"/>
      <c r="BW148" s="7"/>
      <c r="BX148" s="11"/>
      <c r="BY148" s="11"/>
      <c r="BZ148" s="11"/>
      <c r="CA148" s="7"/>
      <c r="CB148" s="7"/>
      <c r="CC148" s="7"/>
      <c r="CD148" s="7"/>
      <c r="CE148" s="7"/>
      <c r="CF148" s="7"/>
      <c r="CG148" s="8"/>
      <c r="CH148" s="7"/>
      <c r="CI148" s="7"/>
      <c r="CJ148" s="7"/>
      <c r="CK148" s="7"/>
      <c r="CL148" s="7"/>
      <c r="CM148" s="7"/>
      <c r="CN148" s="7"/>
      <c r="CO148" s="7"/>
      <c r="CP148" s="7"/>
      <c r="CQ148" s="8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8"/>
      <c r="DG148" s="8"/>
      <c r="DH148" s="15"/>
      <c r="DI148" s="8"/>
      <c r="DJ148" s="8"/>
      <c r="DK148" s="11"/>
      <c r="DL148" s="11"/>
      <c r="DM148" s="11"/>
    </row>
    <row r="149" ht="11.25" customHeight="1">
      <c r="A149" s="11"/>
      <c r="B149" s="6"/>
      <c r="C149" s="11"/>
      <c r="D149" s="11"/>
      <c r="E149" s="11"/>
      <c r="F149" s="9"/>
      <c r="G149" s="9"/>
      <c r="H149" s="9"/>
      <c r="I149" s="16"/>
      <c r="J149" s="9"/>
      <c r="K149" s="9"/>
      <c r="L149" s="10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11"/>
      <c r="AL149" s="11"/>
      <c r="AM149" s="11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7"/>
      <c r="BU149" s="7"/>
      <c r="BV149" s="7"/>
      <c r="BW149" s="7"/>
      <c r="BX149" s="11"/>
      <c r="BY149" s="11"/>
      <c r="BZ149" s="11"/>
      <c r="CA149" s="7"/>
      <c r="CB149" s="7"/>
      <c r="CC149" s="7"/>
      <c r="CD149" s="7"/>
      <c r="CE149" s="7"/>
      <c r="CF149" s="7"/>
      <c r="CG149" s="8"/>
      <c r="CH149" s="7"/>
      <c r="CI149" s="7"/>
      <c r="CJ149" s="7"/>
      <c r="CK149" s="7"/>
      <c r="CL149" s="7"/>
      <c r="CM149" s="7"/>
      <c r="CN149" s="7"/>
      <c r="CO149" s="7"/>
      <c r="CP149" s="7"/>
      <c r="CQ149" s="8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8"/>
      <c r="DG149" s="8"/>
      <c r="DH149" s="15"/>
      <c r="DI149" s="8"/>
      <c r="DJ149" s="8"/>
      <c r="DK149" s="11"/>
      <c r="DL149" s="11"/>
      <c r="DM149" s="11"/>
    </row>
    <row r="150" ht="11.25" customHeight="1">
      <c r="A150" s="11"/>
      <c r="B150" s="6"/>
      <c r="C150" s="11"/>
      <c r="D150" s="11"/>
      <c r="E150" s="11"/>
      <c r="F150" s="9"/>
      <c r="G150" s="9"/>
      <c r="H150" s="9"/>
      <c r="I150" s="16"/>
      <c r="J150" s="9"/>
      <c r="K150" s="9"/>
      <c r="L150" s="10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11"/>
      <c r="AL150" s="11"/>
      <c r="AM150" s="11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7"/>
      <c r="BU150" s="7"/>
      <c r="BV150" s="7"/>
      <c r="BW150" s="7"/>
      <c r="BX150" s="11"/>
      <c r="BY150" s="11"/>
      <c r="BZ150" s="11"/>
      <c r="CA150" s="7"/>
      <c r="CB150" s="7"/>
      <c r="CC150" s="7"/>
      <c r="CD150" s="7"/>
      <c r="CE150" s="7"/>
      <c r="CF150" s="7"/>
      <c r="CG150" s="8"/>
      <c r="CH150" s="7"/>
      <c r="CI150" s="7"/>
      <c r="CJ150" s="7"/>
      <c r="CK150" s="7"/>
      <c r="CL150" s="7"/>
      <c r="CM150" s="7"/>
      <c r="CN150" s="7"/>
      <c r="CO150" s="7"/>
      <c r="CP150" s="7"/>
      <c r="CQ150" s="8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8"/>
      <c r="DG150" s="8"/>
      <c r="DH150" s="15"/>
      <c r="DI150" s="8"/>
      <c r="DJ150" s="8"/>
      <c r="DK150" s="11"/>
      <c r="DL150" s="11"/>
      <c r="DM150" s="11"/>
    </row>
    <row r="151" ht="11.25" customHeight="1">
      <c r="A151" s="11"/>
      <c r="B151" s="6"/>
      <c r="C151" s="11"/>
      <c r="D151" s="11"/>
      <c r="E151" s="11"/>
      <c r="F151" s="9"/>
      <c r="G151" s="9"/>
      <c r="H151" s="9"/>
      <c r="I151" s="16"/>
      <c r="J151" s="9"/>
      <c r="K151" s="9"/>
      <c r="L151" s="10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11"/>
      <c r="AL151" s="11"/>
      <c r="AM151" s="11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7"/>
      <c r="BU151" s="7"/>
      <c r="BV151" s="7"/>
      <c r="BW151" s="7"/>
      <c r="BX151" s="11"/>
      <c r="BY151" s="11"/>
      <c r="BZ151" s="11"/>
      <c r="CA151" s="7"/>
      <c r="CB151" s="7"/>
      <c r="CC151" s="7"/>
      <c r="CD151" s="7"/>
      <c r="CE151" s="7"/>
      <c r="CF151" s="7"/>
      <c r="CG151" s="8"/>
      <c r="CH151" s="7"/>
      <c r="CI151" s="7"/>
      <c r="CJ151" s="7"/>
      <c r="CK151" s="7"/>
      <c r="CL151" s="7"/>
      <c r="CM151" s="7"/>
      <c r="CN151" s="7"/>
      <c r="CO151" s="7"/>
      <c r="CP151" s="7"/>
      <c r="CQ151" s="8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8"/>
      <c r="DG151" s="8"/>
      <c r="DH151" s="15"/>
      <c r="DI151" s="8"/>
      <c r="DJ151" s="8"/>
      <c r="DK151" s="11"/>
      <c r="DL151" s="11"/>
      <c r="DM151" s="11"/>
    </row>
    <row r="152" ht="11.25" customHeight="1">
      <c r="A152" s="11"/>
      <c r="B152" s="6"/>
      <c r="C152" s="11"/>
      <c r="D152" s="11"/>
      <c r="E152" s="11"/>
      <c r="F152" s="9"/>
      <c r="G152" s="9"/>
      <c r="H152" s="9"/>
      <c r="I152" s="16"/>
      <c r="J152" s="9"/>
      <c r="K152" s="9"/>
      <c r="L152" s="10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11"/>
      <c r="AL152" s="11"/>
      <c r="AM152" s="11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7"/>
      <c r="BU152" s="7"/>
      <c r="BV152" s="7"/>
      <c r="BW152" s="7"/>
      <c r="BX152" s="11"/>
      <c r="BY152" s="11"/>
      <c r="BZ152" s="11"/>
      <c r="CA152" s="7"/>
      <c r="CB152" s="7"/>
      <c r="CC152" s="7"/>
      <c r="CD152" s="7"/>
      <c r="CE152" s="7"/>
      <c r="CF152" s="7"/>
      <c r="CG152" s="8"/>
      <c r="CH152" s="7"/>
      <c r="CI152" s="7"/>
      <c r="CJ152" s="7"/>
      <c r="CK152" s="7"/>
      <c r="CL152" s="7"/>
      <c r="CM152" s="7"/>
      <c r="CN152" s="7"/>
      <c r="CO152" s="7"/>
      <c r="CP152" s="7"/>
      <c r="CQ152" s="8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8"/>
      <c r="DG152" s="8"/>
      <c r="DH152" s="15"/>
      <c r="DI152" s="8"/>
      <c r="DJ152" s="8"/>
      <c r="DK152" s="11"/>
      <c r="DL152" s="11"/>
      <c r="DM152" s="11"/>
    </row>
    <row r="153" ht="11.25" customHeight="1">
      <c r="A153" s="11"/>
      <c r="B153" s="6"/>
      <c r="C153" s="11"/>
      <c r="D153" s="11"/>
      <c r="E153" s="11"/>
      <c r="F153" s="9"/>
      <c r="G153" s="9"/>
      <c r="H153" s="9"/>
      <c r="I153" s="16"/>
      <c r="J153" s="9"/>
      <c r="K153" s="9"/>
      <c r="L153" s="10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11"/>
      <c r="AL153" s="11"/>
      <c r="AM153" s="11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7"/>
      <c r="BU153" s="7"/>
      <c r="BV153" s="7"/>
      <c r="BW153" s="7"/>
      <c r="BX153" s="11"/>
      <c r="BY153" s="11"/>
      <c r="BZ153" s="11"/>
      <c r="CA153" s="7"/>
      <c r="CB153" s="7"/>
      <c r="CC153" s="7"/>
      <c r="CD153" s="7"/>
      <c r="CE153" s="7"/>
      <c r="CF153" s="7"/>
      <c r="CG153" s="8"/>
      <c r="CH153" s="7"/>
      <c r="CI153" s="7"/>
      <c r="CJ153" s="7"/>
      <c r="CK153" s="7"/>
      <c r="CL153" s="7"/>
      <c r="CM153" s="7"/>
      <c r="CN153" s="7"/>
      <c r="CO153" s="7"/>
      <c r="CP153" s="7"/>
      <c r="CQ153" s="8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8"/>
      <c r="DG153" s="8"/>
      <c r="DH153" s="15"/>
      <c r="DI153" s="8"/>
      <c r="DJ153" s="8"/>
      <c r="DK153" s="11"/>
      <c r="DL153" s="11"/>
      <c r="DM153" s="11"/>
    </row>
    <row r="154" ht="11.25" customHeight="1">
      <c r="A154" s="11"/>
      <c r="B154" s="6"/>
      <c r="C154" s="11"/>
      <c r="D154" s="11"/>
      <c r="E154" s="11"/>
      <c r="F154" s="9"/>
      <c r="G154" s="9"/>
      <c r="H154" s="9"/>
      <c r="I154" s="16"/>
      <c r="J154" s="9"/>
      <c r="K154" s="9"/>
      <c r="L154" s="10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11"/>
      <c r="AL154" s="11"/>
      <c r="AM154" s="11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7"/>
      <c r="BU154" s="7"/>
      <c r="BV154" s="7"/>
      <c r="BW154" s="7"/>
      <c r="BX154" s="11"/>
      <c r="BY154" s="11"/>
      <c r="BZ154" s="11"/>
      <c r="CA154" s="7"/>
      <c r="CB154" s="7"/>
      <c r="CC154" s="7"/>
      <c r="CD154" s="7"/>
      <c r="CE154" s="7"/>
      <c r="CF154" s="7"/>
      <c r="CG154" s="8"/>
      <c r="CH154" s="7"/>
      <c r="CI154" s="7"/>
      <c r="CJ154" s="7"/>
      <c r="CK154" s="7"/>
      <c r="CL154" s="7"/>
      <c r="CM154" s="7"/>
      <c r="CN154" s="7"/>
      <c r="CO154" s="7"/>
      <c r="CP154" s="7"/>
      <c r="CQ154" s="8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8"/>
      <c r="DG154" s="8"/>
      <c r="DH154" s="15"/>
      <c r="DI154" s="8"/>
      <c r="DJ154" s="8"/>
      <c r="DK154" s="11"/>
      <c r="DL154" s="11"/>
      <c r="DM154" s="11"/>
    </row>
    <row r="155" ht="11.25" customHeight="1">
      <c r="A155" s="11"/>
      <c r="B155" s="6"/>
      <c r="C155" s="11"/>
      <c r="D155" s="11"/>
      <c r="E155" s="11"/>
      <c r="F155" s="9"/>
      <c r="G155" s="9"/>
      <c r="H155" s="9"/>
      <c r="I155" s="16"/>
      <c r="J155" s="9"/>
      <c r="K155" s="9"/>
      <c r="L155" s="10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11"/>
      <c r="AL155" s="11"/>
      <c r="AM155" s="11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7"/>
      <c r="BU155" s="7"/>
      <c r="BV155" s="7"/>
      <c r="BW155" s="7"/>
      <c r="BX155" s="11"/>
      <c r="BY155" s="11"/>
      <c r="BZ155" s="11"/>
      <c r="CA155" s="7"/>
      <c r="CB155" s="7"/>
      <c r="CC155" s="7"/>
      <c r="CD155" s="7"/>
      <c r="CE155" s="7"/>
      <c r="CF155" s="7"/>
      <c r="CG155" s="8"/>
      <c r="CH155" s="7"/>
      <c r="CI155" s="7"/>
      <c r="CJ155" s="7"/>
      <c r="CK155" s="7"/>
      <c r="CL155" s="7"/>
      <c r="CM155" s="7"/>
      <c r="CN155" s="7"/>
      <c r="CO155" s="7"/>
      <c r="CP155" s="7"/>
      <c r="CQ155" s="8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8"/>
      <c r="DG155" s="8"/>
      <c r="DH155" s="15"/>
      <c r="DI155" s="8"/>
      <c r="DJ155" s="8"/>
      <c r="DK155" s="11"/>
      <c r="DL155" s="11"/>
      <c r="DM155" s="11"/>
    </row>
    <row r="156" ht="11.25" customHeight="1">
      <c r="A156" s="11"/>
      <c r="B156" s="6"/>
      <c r="C156" s="11"/>
      <c r="D156" s="11"/>
      <c r="E156" s="11"/>
      <c r="F156" s="9"/>
      <c r="G156" s="9"/>
      <c r="H156" s="9"/>
      <c r="I156" s="16"/>
      <c r="J156" s="9"/>
      <c r="K156" s="9"/>
      <c r="L156" s="10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11"/>
      <c r="AL156" s="11"/>
      <c r="AM156" s="11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7"/>
      <c r="BU156" s="7"/>
      <c r="BV156" s="7"/>
      <c r="BW156" s="7"/>
      <c r="BX156" s="11"/>
      <c r="BY156" s="11"/>
      <c r="BZ156" s="11"/>
      <c r="CA156" s="7"/>
      <c r="CB156" s="7"/>
      <c r="CC156" s="7"/>
      <c r="CD156" s="7"/>
      <c r="CE156" s="7"/>
      <c r="CF156" s="7"/>
      <c r="CG156" s="8"/>
      <c r="CH156" s="7"/>
      <c r="CI156" s="7"/>
      <c r="CJ156" s="7"/>
      <c r="CK156" s="7"/>
      <c r="CL156" s="7"/>
      <c r="CM156" s="7"/>
      <c r="CN156" s="7"/>
      <c r="CO156" s="7"/>
      <c r="CP156" s="7"/>
      <c r="CQ156" s="8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8"/>
      <c r="DG156" s="8"/>
      <c r="DH156" s="15"/>
      <c r="DI156" s="8"/>
      <c r="DJ156" s="8"/>
      <c r="DK156" s="11"/>
      <c r="DL156" s="11"/>
      <c r="DM156" s="11"/>
    </row>
    <row r="157" ht="11.25" customHeight="1">
      <c r="A157" s="11"/>
      <c r="B157" s="6"/>
      <c r="C157" s="11"/>
      <c r="D157" s="11"/>
      <c r="E157" s="11"/>
      <c r="F157" s="9"/>
      <c r="G157" s="9"/>
      <c r="H157" s="9"/>
      <c r="I157" s="16"/>
      <c r="J157" s="9"/>
      <c r="K157" s="9"/>
      <c r="L157" s="10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11"/>
      <c r="AL157" s="11"/>
      <c r="AM157" s="11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7"/>
      <c r="BU157" s="7"/>
      <c r="BV157" s="7"/>
      <c r="BW157" s="7"/>
      <c r="BX157" s="11"/>
      <c r="BY157" s="11"/>
      <c r="BZ157" s="11"/>
      <c r="CA157" s="7"/>
      <c r="CB157" s="7"/>
      <c r="CC157" s="7"/>
      <c r="CD157" s="7"/>
      <c r="CE157" s="7"/>
      <c r="CF157" s="7"/>
      <c r="CG157" s="8"/>
      <c r="CH157" s="7"/>
      <c r="CI157" s="7"/>
      <c r="CJ157" s="7"/>
      <c r="CK157" s="7"/>
      <c r="CL157" s="7"/>
      <c r="CM157" s="7"/>
      <c r="CN157" s="7"/>
      <c r="CO157" s="7"/>
      <c r="CP157" s="7"/>
      <c r="CQ157" s="8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8"/>
      <c r="DG157" s="8"/>
      <c r="DH157" s="15"/>
      <c r="DI157" s="8"/>
      <c r="DJ157" s="8"/>
      <c r="DK157" s="11"/>
      <c r="DL157" s="11"/>
      <c r="DM157" s="11"/>
    </row>
    <row r="158" ht="11.25" customHeight="1">
      <c r="A158" s="11"/>
      <c r="B158" s="6"/>
      <c r="C158" s="11"/>
      <c r="D158" s="11"/>
      <c r="E158" s="11"/>
      <c r="F158" s="9"/>
      <c r="G158" s="9"/>
      <c r="H158" s="9"/>
      <c r="I158" s="16"/>
      <c r="J158" s="9"/>
      <c r="K158" s="9"/>
      <c r="L158" s="10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11"/>
      <c r="AL158" s="11"/>
      <c r="AM158" s="11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7"/>
      <c r="BU158" s="7"/>
      <c r="BV158" s="7"/>
      <c r="BW158" s="7"/>
      <c r="BX158" s="11"/>
      <c r="BY158" s="11"/>
      <c r="BZ158" s="11"/>
      <c r="CA158" s="7"/>
      <c r="CB158" s="7"/>
      <c r="CC158" s="7"/>
      <c r="CD158" s="7"/>
      <c r="CE158" s="7"/>
      <c r="CF158" s="7"/>
      <c r="CG158" s="8"/>
      <c r="CH158" s="7"/>
      <c r="CI158" s="7"/>
      <c r="CJ158" s="7"/>
      <c r="CK158" s="7"/>
      <c r="CL158" s="7"/>
      <c r="CM158" s="7"/>
      <c r="CN158" s="7"/>
      <c r="CO158" s="7"/>
      <c r="CP158" s="7"/>
      <c r="CQ158" s="8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8"/>
      <c r="DG158" s="8"/>
      <c r="DH158" s="15"/>
      <c r="DI158" s="8"/>
      <c r="DJ158" s="8"/>
      <c r="DK158" s="11"/>
      <c r="DL158" s="11"/>
      <c r="DM158" s="11"/>
    </row>
    <row r="159" ht="11.25" customHeight="1">
      <c r="A159" s="11"/>
      <c r="B159" s="6"/>
      <c r="C159" s="11"/>
      <c r="D159" s="11"/>
      <c r="E159" s="11"/>
      <c r="F159" s="9"/>
      <c r="G159" s="9"/>
      <c r="H159" s="9"/>
      <c r="I159" s="16"/>
      <c r="J159" s="9"/>
      <c r="K159" s="9"/>
      <c r="L159" s="10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11"/>
      <c r="AL159" s="11"/>
      <c r="AM159" s="11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7"/>
      <c r="BU159" s="7"/>
      <c r="BV159" s="7"/>
      <c r="BW159" s="7"/>
      <c r="BX159" s="11"/>
      <c r="BY159" s="11"/>
      <c r="BZ159" s="11"/>
      <c r="CA159" s="7"/>
      <c r="CB159" s="7"/>
      <c r="CC159" s="7"/>
      <c r="CD159" s="7"/>
      <c r="CE159" s="7"/>
      <c r="CF159" s="7"/>
      <c r="CG159" s="8"/>
      <c r="CH159" s="7"/>
      <c r="CI159" s="7"/>
      <c r="CJ159" s="7"/>
      <c r="CK159" s="7"/>
      <c r="CL159" s="7"/>
      <c r="CM159" s="7"/>
      <c r="CN159" s="7"/>
      <c r="CO159" s="7"/>
      <c r="CP159" s="7"/>
      <c r="CQ159" s="8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8"/>
      <c r="DG159" s="8"/>
      <c r="DH159" s="15"/>
      <c r="DI159" s="8"/>
      <c r="DJ159" s="8"/>
      <c r="DK159" s="11"/>
      <c r="DL159" s="11"/>
      <c r="DM159" s="11"/>
    </row>
    <row r="160" ht="11.25" customHeight="1">
      <c r="A160" s="11"/>
      <c r="B160" s="6"/>
      <c r="C160" s="11"/>
      <c r="D160" s="11"/>
      <c r="E160" s="11"/>
      <c r="F160" s="9"/>
      <c r="G160" s="9"/>
      <c r="H160" s="9"/>
      <c r="I160" s="16"/>
      <c r="J160" s="9"/>
      <c r="K160" s="9"/>
      <c r="L160" s="10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11"/>
      <c r="AL160" s="11"/>
      <c r="AM160" s="11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7"/>
      <c r="BU160" s="7"/>
      <c r="BV160" s="7"/>
      <c r="BW160" s="7"/>
      <c r="BX160" s="11"/>
      <c r="BY160" s="11"/>
      <c r="BZ160" s="11"/>
      <c r="CA160" s="7"/>
      <c r="CB160" s="7"/>
      <c r="CC160" s="7"/>
      <c r="CD160" s="7"/>
      <c r="CE160" s="7"/>
      <c r="CF160" s="7"/>
      <c r="CG160" s="8"/>
      <c r="CH160" s="7"/>
      <c r="CI160" s="7"/>
      <c r="CJ160" s="7"/>
      <c r="CK160" s="7"/>
      <c r="CL160" s="7"/>
      <c r="CM160" s="7"/>
      <c r="CN160" s="7"/>
      <c r="CO160" s="7"/>
      <c r="CP160" s="7"/>
      <c r="CQ160" s="8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8"/>
      <c r="DG160" s="8"/>
      <c r="DH160" s="15"/>
      <c r="DI160" s="8"/>
      <c r="DJ160" s="8"/>
      <c r="DK160" s="11"/>
      <c r="DL160" s="11"/>
      <c r="DM160" s="11"/>
    </row>
    <row r="161" ht="11.25" customHeight="1">
      <c r="A161" s="11"/>
      <c r="B161" s="6"/>
      <c r="C161" s="11"/>
      <c r="D161" s="11"/>
      <c r="E161" s="11"/>
      <c r="F161" s="9"/>
      <c r="G161" s="9"/>
      <c r="H161" s="9"/>
      <c r="I161" s="16"/>
      <c r="J161" s="9"/>
      <c r="K161" s="9"/>
      <c r="L161" s="10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11"/>
      <c r="AL161" s="11"/>
      <c r="AM161" s="11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7"/>
      <c r="BU161" s="7"/>
      <c r="BV161" s="7"/>
      <c r="BW161" s="7"/>
      <c r="BX161" s="11"/>
      <c r="BY161" s="11"/>
      <c r="BZ161" s="11"/>
      <c r="CA161" s="7"/>
      <c r="CB161" s="7"/>
      <c r="CC161" s="7"/>
      <c r="CD161" s="7"/>
      <c r="CE161" s="7"/>
      <c r="CF161" s="7"/>
      <c r="CG161" s="8"/>
      <c r="CH161" s="7"/>
      <c r="CI161" s="7"/>
      <c r="CJ161" s="7"/>
      <c r="CK161" s="7"/>
      <c r="CL161" s="7"/>
      <c r="CM161" s="7"/>
      <c r="CN161" s="7"/>
      <c r="CO161" s="7"/>
      <c r="CP161" s="7"/>
      <c r="CQ161" s="8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8"/>
      <c r="DG161" s="8"/>
      <c r="DH161" s="15"/>
      <c r="DI161" s="8"/>
      <c r="DJ161" s="8"/>
      <c r="DK161" s="11"/>
      <c r="DL161" s="11"/>
      <c r="DM161" s="11"/>
    </row>
    <row r="162" ht="11.25" customHeight="1">
      <c r="A162" s="11"/>
      <c r="B162" s="6"/>
      <c r="C162" s="11"/>
      <c r="D162" s="11"/>
      <c r="E162" s="11"/>
      <c r="F162" s="9"/>
      <c r="G162" s="9"/>
      <c r="H162" s="9"/>
      <c r="I162" s="16"/>
      <c r="J162" s="9"/>
      <c r="K162" s="9"/>
      <c r="L162" s="10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11"/>
      <c r="AL162" s="11"/>
      <c r="AM162" s="11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7"/>
      <c r="BU162" s="7"/>
      <c r="BV162" s="7"/>
      <c r="BW162" s="7"/>
      <c r="BX162" s="11"/>
      <c r="BY162" s="11"/>
      <c r="BZ162" s="11"/>
      <c r="CA162" s="7"/>
      <c r="CB162" s="7"/>
      <c r="CC162" s="7"/>
      <c r="CD162" s="7"/>
      <c r="CE162" s="7"/>
      <c r="CF162" s="7"/>
      <c r="CG162" s="8"/>
      <c r="CH162" s="7"/>
      <c r="CI162" s="7"/>
      <c r="CJ162" s="7"/>
      <c r="CK162" s="7"/>
      <c r="CL162" s="7"/>
      <c r="CM162" s="7"/>
      <c r="CN162" s="7"/>
      <c r="CO162" s="7"/>
      <c r="CP162" s="7"/>
      <c r="CQ162" s="8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8"/>
      <c r="DG162" s="8"/>
      <c r="DH162" s="15"/>
      <c r="DI162" s="8"/>
      <c r="DJ162" s="8"/>
      <c r="DK162" s="11"/>
      <c r="DL162" s="11"/>
      <c r="DM162" s="11"/>
    </row>
    <row r="163" ht="11.25" customHeight="1">
      <c r="A163" s="11"/>
      <c r="B163" s="6"/>
      <c r="C163" s="11"/>
      <c r="D163" s="11"/>
      <c r="E163" s="11"/>
      <c r="F163" s="9"/>
      <c r="G163" s="9"/>
      <c r="H163" s="9"/>
      <c r="I163" s="16"/>
      <c r="J163" s="9"/>
      <c r="K163" s="9"/>
      <c r="L163" s="10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11"/>
      <c r="AL163" s="11"/>
      <c r="AM163" s="11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7"/>
      <c r="BU163" s="7"/>
      <c r="BV163" s="7"/>
      <c r="BW163" s="7"/>
      <c r="BX163" s="11"/>
      <c r="BY163" s="11"/>
      <c r="BZ163" s="11"/>
      <c r="CA163" s="7"/>
      <c r="CB163" s="7"/>
      <c r="CC163" s="7"/>
      <c r="CD163" s="7"/>
      <c r="CE163" s="7"/>
      <c r="CF163" s="7"/>
      <c r="CG163" s="8"/>
      <c r="CH163" s="7"/>
      <c r="CI163" s="7"/>
      <c r="CJ163" s="7"/>
      <c r="CK163" s="7"/>
      <c r="CL163" s="7"/>
      <c r="CM163" s="7"/>
      <c r="CN163" s="7"/>
      <c r="CO163" s="7"/>
      <c r="CP163" s="7"/>
      <c r="CQ163" s="8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8"/>
      <c r="DG163" s="8"/>
      <c r="DH163" s="15"/>
      <c r="DI163" s="8"/>
      <c r="DJ163" s="8"/>
      <c r="DK163" s="11"/>
      <c r="DL163" s="11"/>
      <c r="DM163" s="11"/>
    </row>
    <row r="164" ht="11.25" customHeight="1">
      <c r="A164" s="11"/>
      <c r="B164" s="6"/>
      <c r="C164" s="11"/>
      <c r="D164" s="11"/>
      <c r="E164" s="11"/>
      <c r="F164" s="9"/>
      <c r="G164" s="9"/>
      <c r="H164" s="9"/>
      <c r="I164" s="16"/>
      <c r="J164" s="9"/>
      <c r="K164" s="9"/>
      <c r="L164" s="10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11"/>
      <c r="AL164" s="11"/>
      <c r="AM164" s="11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7"/>
      <c r="BU164" s="7"/>
      <c r="BV164" s="7"/>
      <c r="BW164" s="7"/>
      <c r="BX164" s="11"/>
      <c r="BY164" s="11"/>
      <c r="BZ164" s="11"/>
      <c r="CA164" s="7"/>
      <c r="CB164" s="7"/>
      <c r="CC164" s="7"/>
      <c r="CD164" s="7"/>
      <c r="CE164" s="7"/>
      <c r="CF164" s="7"/>
      <c r="CG164" s="8"/>
      <c r="CH164" s="7"/>
      <c r="CI164" s="7"/>
      <c r="CJ164" s="7"/>
      <c r="CK164" s="7"/>
      <c r="CL164" s="7"/>
      <c r="CM164" s="7"/>
      <c r="CN164" s="7"/>
      <c r="CO164" s="7"/>
      <c r="CP164" s="7"/>
      <c r="CQ164" s="8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8"/>
      <c r="DG164" s="8"/>
      <c r="DH164" s="15"/>
      <c r="DI164" s="8"/>
      <c r="DJ164" s="8"/>
      <c r="DK164" s="11"/>
      <c r="DL164" s="11"/>
      <c r="DM164" s="11"/>
    </row>
    <row r="165" ht="11.25" customHeight="1">
      <c r="A165" s="11"/>
      <c r="B165" s="6"/>
      <c r="C165" s="11"/>
      <c r="D165" s="11"/>
      <c r="E165" s="11"/>
      <c r="F165" s="9"/>
      <c r="G165" s="9"/>
      <c r="H165" s="9"/>
      <c r="I165" s="16"/>
      <c r="J165" s="9"/>
      <c r="K165" s="9"/>
      <c r="L165" s="10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11"/>
      <c r="AL165" s="11"/>
      <c r="AM165" s="11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7"/>
      <c r="BU165" s="7"/>
      <c r="BV165" s="7"/>
      <c r="BW165" s="7"/>
      <c r="BX165" s="11"/>
      <c r="BY165" s="11"/>
      <c r="BZ165" s="11"/>
      <c r="CA165" s="7"/>
      <c r="CB165" s="7"/>
      <c r="CC165" s="7"/>
      <c r="CD165" s="7"/>
      <c r="CE165" s="7"/>
      <c r="CF165" s="7"/>
      <c r="CG165" s="8"/>
      <c r="CH165" s="7"/>
      <c r="CI165" s="7"/>
      <c r="CJ165" s="7"/>
      <c r="CK165" s="7"/>
      <c r="CL165" s="7"/>
      <c r="CM165" s="7"/>
      <c r="CN165" s="7"/>
      <c r="CO165" s="7"/>
      <c r="CP165" s="7"/>
      <c r="CQ165" s="8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8"/>
      <c r="DG165" s="8"/>
      <c r="DH165" s="15"/>
      <c r="DI165" s="8"/>
      <c r="DJ165" s="8"/>
      <c r="DK165" s="11"/>
      <c r="DL165" s="11"/>
      <c r="DM165" s="11"/>
    </row>
    <row r="166" ht="11.25" customHeight="1">
      <c r="A166" s="11"/>
      <c r="B166" s="6"/>
      <c r="C166" s="11"/>
      <c r="D166" s="11"/>
      <c r="E166" s="11"/>
      <c r="F166" s="9"/>
      <c r="G166" s="9"/>
      <c r="H166" s="9"/>
      <c r="I166" s="16"/>
      <c r="J166" s="9"/>
      <c r="K166" s="9"/>
      <c r="L166" s="10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11"/>
      <c r="AL166" s="11"/>
      <c r="AM166" s="11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7"/>
      <c r="BU166" s="7"/>
      <c r="BV166" s="7"/>
      <c r="BW166" s="7"/>
      <c r="BX166" s="11"/>
      <c r="BY166" s="11"/>
      <c r="BZ166" s="11"/>
      <c r="CA166" s="7"/>
      <c r="CB166" s="7"/>
      <c r="CC166" s="7"/>
      <c r="CD166" s="7"/>
      <c r="CE166" s="7"/>
      <c r="CF166" s="7"/>
      <c r="CG166" s="8"/>
      <c r="CH166" s="7"/>
      <c r="CI166" s="7"/>
      <c r="CJ166" s="7"/>
      <c r="CK166" s="7"/>
      <c r="CL166" s="7"/>
      <c r="CM166" s="7"/>
      <c r="CN166" s="7"/>
      <c r="CO166" s="7"/>
      <c r="CP166" s="7"/>
      <c r="CQ166" s="8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8"/>
      <c r="DG166" s="8"/>
      <c r="DH166" s="15"/>
      <c r="DI166" s="8"/>
      <c r="DJ166" s="8"/>
      <c r="DK166" s="11"/>
      <c r="DL166" s="11"/>
      <c r="DM166" s="11"/>
    </row>
    <row r="167" ht="11.25" customHeight="1">
      <c r="A167" s="11"/>
      <c r="B167" s="6"/>
      <c r="C167" s="11"/>
      <c r="D167" s="11"/>
      <c r="E167" s="11"/>
      <c r="F167" s="9"/>
      <c r="G167" s="9"/>
      <c r="H167" s="9"/>
      <c r="I167" s="16"/>
      <c r="J167" s="9"/>
      <c r="K167" s="9"/>
      <c r="L167" s="10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11"/>
      <c r="AL167" s="11"/>
      <c r="AM167" s="11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7"/>
      <c r="BU167" s="7"/>
      <c r="BV167" s="7"/>
      <c r="BW167" s="7"/>
      <c r="BX167" s="11"/>
      <c r="BY167" s="11"/>
      <c r="BZ167" s="11"/>
      <c r="CA167" s="7"/>
      <c r="CB167" s="7"/>
      <c r="CC167" s="7"/>
      <c r="CD167" s="7"/>
      <c r="CE167" s="7"/>
      <c r="CF167" s="7"/>
      <c r="CG167" s="8"/>
      <c r="CH167" s="7"/>
      <c r="CI167" s="7"/>
      <c r="CJ167" s="7"/>
      <c r="CK167" s="7"/>
      <c r="CL167" s="7"/>
      <c r="CM167" s="7"/>
      <c r="CN167" s="7"/>
      <c r="CO167" s="7"/>
      <c r="CP167" s="7"/>
      <c r="CQ167" s="8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8"/>
      <c r="DG167" s="8"/>
      <c r="DH167" s="15"/>
      <c r="DI167" s="8"/>
      <c r="DJ167" s="8"/>
      <c r="DK167" s="11"/>
      <c r="DL167" s="11"/>
      <c r="DM167" s="11"/>
    </row>
    <row r="168" ht="11.25" customHeight="1">
      <c r="A168" s="11"/>
      <c r="B168" s="6"/>
      <c r="C168" s="11"/>
      <c r="D168" s="11"/>
      <c r="E168" s="11"/>
      <c r="F168" s="9"/>
      <c r="G168" s="9"/>
      <c r="H168" s="9"/>
      <c r="I168" s="16"/>
      <c r="J168" s="9"/>
      <c r="K168" s="9"/>
      <c r="L168" s="10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11"/>
      <c r="AL168" s="11"/>
      <c r="AM168" s="11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7"/>
      <c r="BU168" s="7"/>
      <c r="BV168" s="7"/>
      <c r="BW168" s="7"/>
      <c r="BX168" s="11"/>
      <c r="BY168" s="11"/>
      <c r="BZ168" s="11"/>
      <c r="CA168" s="7"/>
      <c r="CB168" s="7"/>
      <c r="CC168" s="7"/>
      <c r="CD168" s="7"/>
      <c r="CE168" s="7"/>
      <c r="CF168" s="7"/>
      <c r="CG168" s="8"/>
      <c r="CH168" s="7"/>
      <c r="CI168" s="7"/>
      <c r="CJ168" s="7"/>
      <c r="CK168" s="7"/>
      <c r="CL168" s="7"/>
      <c r="CM168" s="7"/>
      <c r="CN168" s="7"/>
      <c r="CO168" s="7"/>
      <c r="CP168" s="7"/>
      <c r="CQ168" s="8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8"/>
      <c r="DG168" s="8"/>
      <c r="DH168" s="15"/>
      <c r="DI168" s="8"/>
      <c r="DJ168" s="8"/>
      <c r="DK168" s="11"/>
      <c r="DL168" s="11"/>
      <c r="DM168" s="11"/>
    </row>
    <row r="169" ht="11.25" customHeight="1">
      <c r="A169" s="11"/>
      <c r="B169" s="6"/>
      <c r="C169" s="11"/>
      <c r="D169" s="11"/>
      <c r="E169" s="11"/>
      <c r="F169" s="9"/>
      <c r="G169" s="9"/>
      <c r="H169" s="9"/>
      <c r="I169" s="16"/>
      <c r="J169" s="9"/>
      <c r="K169" s="9"/>
      <c r="L169" s="10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1"/>
      <c r="AL169" s="11"/>
      <c r="AM169" s="11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7"/>
      <c r="BU169" s="7"/>
      <c r="BV169" s="7"/>
      <c r="BW169" s="7"/>
      <c r="BX169" s="11"/>
      <c r="BY169" s="11"/>
      <c r="BZ169" s="11"/>
      <c r="CA169" s="7"/>
      <c r="CB169" s="7"/>
      <c r="CC169" s="7"/>
      <c r="CD169" s="7"/>
      <c r="CE169" s="7"/>
      <c r="CF169" s="7"/>
      <c r="CG169" s="8"/>
      <c r="CH169" s="7"/>
      <c r="CI169" s="7"/>
      <c r="CJ169" s="7"/>
      <c r="CK169" s="7"/>
      <c r="CL169" s="7"/>
      <c r="CM169" s="7"/>
      <c r="CN169" s="7"/>
      <c r="CO169" s="7"/>
      <c r="CP169" s="7"/>
      <c r="CQ169" s="8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8"/>
      <c r="DG169" s="8"/>
      <c r="DH169" s="15"/>
      <c r="DI169" s="8"/>
      <c r="DJ169" s="8"/>
      <c r="DK169" s="11"/>
      <c r="DL169" s="11"/>
      <c r="DM169" s="11"/>
    </row>
    <row r="170" ht="11.25" customHeight="1">
      <c r="A170" s="11"/>
      <c r="B170" s="6"/>
      <c r="C170" s="11"/>
      <c r="D170" s="11"/>
      <c r="E170" s="11"/>
      <c r="F170" s="9"/>
      <c r="G170" s="9"/>
      <c r="H170" s="9"/>
      <c r="I170" s="16"/>
      <c r="J170" s="9"/>
      <c r="K170" s="9"/>
      <c r="L170" s="10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1"/>
      <c r="AL170" s="11"/>
      <c r="AM170" s="11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7"/>
      <c r="BU170" s="7"/>
      <c r="BV170" s="7"/>
      <c r="BW170" s="7"/>
      <c r="BX170" s="11"/>
      <c r="BY170" s="11"/>
      <c r="BZ170" s="11"/>
      <c r="CA170" s="7"/>
      <c r="CB170" s="7"/>
      <c r="CC170" s="7"/>
      <c r="CD170" s="7"/>
      <c r="CE170" s="7"/>
      <c r="CF170" s="7"/>
      <c r="CG170" s="8"/>
      <c r="CH170" s="7"/>
      <c r="CI170" s="7"/>
      <c r="CJ170" s="7"/>
      <c r="CK170" s="7"/>
      <c r="CL170" s="7"/>
      <c r="CM170" s="7"/>
      <c r="CN170" s="7"/>
      <c r="CO170" s="7"/>
      <c r="CP170" s="7"/>
      <c r="CQ170" s="8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8"/>
      <c r="DG170" s="8"/>
      <c r="DH170" s="15"/>
      <c r="DI170" s="8"/>
      <c r="DJ170" s="8"/>
      <c r="DK170" s="11"/>
      <c r="DL170" s="11"/>
      <c r="DM170" s="11"/>
    </row>
    <row r="171" ht="11.25" customHeight="1">
      <c r="A171" s="11"/>
      <c r="B171" s="6"/>
      <c r="C171" s="11"/>
      <c r="D171" s="11"/>
      <c r="E171" s="11"/>
      <c r="F171" s="9"/>
      <c r="G171" s="9"/>
      <c r="H171" s="9"/>
      <c r="I171" s="16"/>
      <c r="J171" s="9"/>
      <c r="K171" s="9"/>
      <c r="L171" s="10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1"/>
      <c r="AL171" s="11"/>
      <c r="AM171" s="11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7"/>
      <c r="BU171" s="7"/>
      <c r="BV171" s="7"/>
      <c r="BW171" s="7"/>
      <c r="BX171" s="11"/>
      <c r="BY171" s="11"/>
      <c r="BZ171" s="11"/>
      <c r="CA171" s="7"/>
      <c r="CB171" s="7"/>
      <c r="CC171" s="7"/>
      <c r="CD171" s="7"/>
      <c r="CE171" s="7"/>
      <c r="CF171" s="7"/>
      <c r="CG171" s="8"/>
      <c r="CH171" s="7"/>
      <c r="CI171" s="7"/>
      <c r="CJ171" s="7"/>
      <c r="CK171" s="7"/>
      <c r="CL171" s="7"/>
      <c r="CM171" s="7"/>
      <c r="CN171" s="7"/>
      <c r="CO171" s="7"/>
      <c r="CP171" s="7"/>
      <c r="CQ171" s="8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8"/>
      <c r="DG171" s="8"/>
      <c r="DH171" s="15"/>
      <c r="DI171" s="8"/>
      <c r="DJ171" s="8"/>
      <c r="DK171" s="11"/>
      <c r="DL171" s="11"/>
      <c r="DM171" s="11"/>
    </row>
    <row r="172" ht="11.25" customHeight="1">
      <c r="A172" s="11"/>
      <c r="B172" s="6"/>
      <c r="C172" s="11"/>
      <c r="D172" s="11"/>
      <c r="E172" s="11"/>
      <c r="F172" s="9"/>
      <c r="G172" s="9"/>
      <c r="H172" s="9"/>
      <c r="I172" s="16"/>
      <c r="J172" s="9"/>
      <c r="K172" s="9"/>
      <c r="L172" s="10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1"/>
      <c r="AL172" s="11"/>
      <c r="AM172" s="11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7"/>
      <c r="BU172" s="7"/>
      <c r="BV172" s="7"/>
      <c r="BW172" s="7"/>
      <c r="BX172" s="11"/>
      <c r="BY172" s="11"/>
      <c r="BZ172" s="11"/>
      <c r="CA172" s="7"/>
      <c r="CB172" s="7"/>
      <c r="CC172" s="7"/>
      <c r="CD172" s="7"/>
      <c r="CE172" s="7"/>
      <c r="CF172" s="7"/>
      <c r="CG172" s="8"/>
      <c r="CH172" s="7"/>
      <c r="CI172" s="7"/>
      <c r="CJ172" s="7"/>
      <c r="CK172" s="7"/>
      <c r="CL172" s="7"/>
      <c r="CM172" s="7"/>
      <c r="CN172" s="7"/>
      <c r="CO172" s="7"/>
      <c r="CP172" s="7"/>
      <c r="CQ172" s="8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8"/>
      <c r="DG172" s="8"/>
      <c r="DH172" s="15"/>
      <c r="DI172" s="8"/>
      <c r="DJ172" s="8"/>
      <c r="DK172" s="11"/>
      <c r="DL172" s="11"/>
      <c r="DM172" s="11"/>
    </row>
    <row r="173" ht="11.25" customHeight="1">
      <c r="A173" s="11"/>
      <c r="B173" s="6"/>
      <c r="C173" s="11"/>
      <c r="D173" s="11"/>
      <c r="E173" s="11"/>
      <c r="F173" s="9"/>
      <c r="G173" s="9"/>
      <c r="H173" s="9"/>
      <c r="I173" s="16"/>
      <c r="J173" s="9"/>
      <c r="K173" s="9"/>
      <c r="L173" s="10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1"/>
      <c r="AL173" s="11"/>
      <c r="AM173" s="11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7"/>
      <c r="BU173" s="7"/>
      <c r="BV173" s="7"/>
      <c r="BW173" s="7"/>
      <c r="BX173" s="11"/>
      <c r="BY173" s="11"/>
      <c r="BZ173" s="11"/>
      <c r="CA173" s="7"/>
      <c r="CB173" s="7"/>
      <c r="CC173" s="7"/>
      <c r="CD173" s="7"/>
      <c r="CE173" s="7"/>
      <c r="CF173" s="7"/>
      <c r="CG173" s="8"/>
      <c r="CH173" s="7"/>
      <c r="CI173" s="7"/>
      <c r="CJ173" s="7"/>
      <c r="CK173" s="7"/>
      <c r="CL173" s="7"/>
      <c r="CM173" s="7"/>
      <c r="CN173" s="7"/>
      <c r="CO173" s="7"/>
      <c r="CP173" s="7"/>
      <c r="CQ173" s="8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8"/>
      <c r="DG173" s="8"/>
      <c r="DH173" s="15"/>
      <c r="DI173" s="8"/>
      <c r="DJ173" s="8"/>
      <c r="DK173" s="11"/>
      <c r="DL173" s="11"/>
      <c r="DM173" s="11"/>
    </row>
    <row r="174" ht="11.25" customHeight="1">
      <c r="A174" s="11"/>
      <c r="B174" s="6"/>
      <c r="C174" s="11"/>
      <c r="D174" s="11"/>
      <c r="E174" s="11"/>
      <c r="F174" s="9"/>
      <c r="G174" s="9"/>
      <c r="H174" s="9"/>
      <c r="I174" s="16"/>
      <c r="J174" s="9"/>
      <c r="K174" s="9"/>
      <c r="L174" s="10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11"/>
      <c r="AL174" s="11"/>
      <c r="AM174" s="11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7"/>
      <c r="BU174" s="7"/>
      <c r="BV174" s="7"/>
      <c r="BW174" s="7"/>
      <c r="BX174" s="11"/>
      <c r="BY174" s="11"/>
      <c r="BZ174" s="11"/>
      <c r="CA174" s="7"/>
      <c r="CB174" s="7"/>
      <c r="CC174" s="7"/>
      <c r="CD174" s="7"/>
      <c r="CE174" s="7"/>
      <c r="CF174" s="7"/>
      <c r="CG174" s="8"/>
      <c r="CH174" s="7"/>
      <c r="CI174" s="7"/>
      <c r="CJ174" s="7"/>
      <c r="CK174" s="7"/>
      <c r="CL174" s="7"/>
      <c r="CM174" s="7"/>
      <c r="CN174" s="7"/>
      <c r="CO174" s="7"/>
      <c r="CP174" s="7"/>
      <c r="CQ174" s="8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8"/>
      <c r="DG174" s="8"/>
      <c r="DH174" s="15"/>
      <c r="DI174" s="8"/>
      <c r="DJ174" s="8"/>
      <c r="DK174" s="11"/>
      <c r="DL174" s="11"/>
      <c r="DM174" s="11"/>
    </row>
    <row r="175" ht="11.25" customHeight="1">
      <c r="A175" s="11"/>
      <c r="B175" s="6"/>
      <c r="C175" s="11"/>
      <c r="D175" s="11"/>
      <c r="E175" s="11"/>
      <c r="F175" s="9"/>
      <c r="G175" s="9"/>
      <c r="H175" s="9"/>
      <c r="I175" s="16"/>
      <c r="J175" s="9"/>
      <c r="K175" s="9"/>
      <c r="L175" s="10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1"/>
      <c r="AL175" s="11"/>
      <c r="AM175" s="11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7"/>
      <c r="BU175" s="7"/>
      <c r="BV175" s="7"/>
      <c r="BW175" s="7"/>
      <c r="BX175" s="11"/>
      <c r="BY175" s="11"/>
      <c r="BZ175" s="11"/>
      <c r="CA175" s="7"/>
      <c r="CB175" s="7"/>
      <c r="CC175" s="7"/>
      <c r="CD175" s="7"/>
      <c r="CE175" s="7"/>
      <c r="CF175" s="7"/>
      <c r="CG175" s="8"/>
      <c r="CH175" s="7"/>
      <c r="CI175" s="7"/>
      <c r="CJ175" s="7"/>
      <c r="CK175" s="7"/>
      <c r="CL175" s="7"/>
      <c r="CM175" s="7"/>
      <c r="CN175" s="7"/>
      <c r="CO175" s="7"/>
      <c r="CP175" s="7"/>
      <c r="CQ175" s="8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8"/>
      <c r="DG175" s="8"/>
      <c r="DH175" s="15"/>
      <c r="DI175" s="8"/>
      <c r="DJ175" s="8"/>
      <c r="DK175" s="11"/>
      <c r="DL175" s="11"/>
      <c r="DM175" s="11"/>
    </row>
    <row r="176" ht="11.25" customHeight="1">
      <c r="A176" s="11"/>
      <c r="B176" s="6"/>
      <c r="C176" s="11"/>
      <c r="D176" s="11"/>
      <c r="E176" s="11"/>
      <c r="F176" s="9"/>
      <c r="G176" s="9"/>
      <c r="H176" s="9"/>
      <c r="I176" s="16"/>
      <c r="J176" s="9"/>
      <c r="K176" s="9"/>
      <c r="L176" s="10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1"/>
      <c r="AL176" s="11"/>
      <c r="AM176" s="11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7"/>
      <c r="BU176" s="7"/>
      <c r="BV176" s="7"/>
      <c r="BW176" s="7"/>
      <c r="BX176" s="11"/>
      <c r="BY176" s="11"/>
      <c r="BZ176" s="11"/>
      <c r="CA176" s="7"/>
      <c r="CB176" s="7"/>
      <c r="CC176" s="7"/>
      <c r="CD176" s="7"/>
      <c r="CE176" s="7"/>
      <c r="CF176" s="7"/>
      <c r="CG176" s="8"/>
      <c r="CH176" s="7"/>
      <c r="CI176" s="7"/>
      <c r="CJ176" s="7"/>
      <c r="CK176" s="7"/>
      <c r="CL176" s="7"/>
      <c r="CM176" s="7"/>
      <c r="CN176" s="7"/>
      <c r="CO176" s="7"/>
      <c r="CP176" s="7"/>
      <c r="CQ176" s="8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8"/>
      <c r="DG176" s="8"/>
      <c r="DH176" s="15"/>
      <c r="DI176" s="8"/>
      <c r="DJ176" s="8"/>
      <c r="DK176" s="11"/>
      <c r="DL176" s="11"/>
      <c r="DM176" s="11"/>
    </row>
    <row r="177" ht="11.25" customHeight="1">
      <c r="A177" s="11"/>
      <c r="B177" s="6"/>
      <c r="C177" s="11"/>
      <c r="D177" s="11"/>
      <c r="E177" s="11"/>
      <c r="F177" s="9"/>
      <c r="G177" s="9"/>
      <c r="H177" s="9"/>
      <c r="I177" s="16"/>
      <c r="J177" s="9"/>
      <c r="K177" s="9"/>
      <c r="L177" s="10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11"/>
      <c r="AL177" s="11"/>
      <c r="AM177" s="11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7"/>
      <c r="BU177" s="7"/>
      <c r="BV177" s="7"/>
      <c r="BW177" s="7"/>
      <c r="BX177" s="11"/>
      <c r="BY177" s="11"/>
      <c r="BZ177" s="11"/>
      <c r="CA177" s="7"/>
      <c r="CB177" s="7"/>
      <c r="CC177" s="7"/>
      <c r="CD177" s="7"/>
      <c r="CE177" s="7"/>
      <c r="CF177" s="7"/>
      <c r="CG177" s="8"/>
      <c r="CH177" s="7"/>
      <c r="CI177" s="7"/>
      <c r="CJ177" s="7"/>
      <c r="CK177" s="7"/>
      <c r="CL177" s="7"/>
      <c r="CM177" s="7"/>
      <c r="CN177" s="7"/>
      <c r="CO177" s="7"/>
      <c r="CP177" s="7"/>
      <c r="CQ177" s="8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8"/>
      <c r="DG177" s="8"/>
      <c r="DH177" s="15"/>
      <c r="DI177" s="8"/>
      <c r="DJ177" s="8"/>
      <c r="DK177" s="11"/>
      <c r="DL177" s="11"/>
      <c r="DM177" s="11"/>
    </row>
    <row r="178" ht="11.25" customHeight="1">
      <c r="A178" s="11"/>
      <c r="B178" s="6"/>
      <c r="C178" s="11"/>
      <c r="D178" s="11"/>
      <c r="E178" s="11"/>
      <c r="F178" s="9"/>
      <c r="G178" s="9"/>
      <c r="H178" s="9"/>
      <c r="I178" s="16"/>
      <c r="J178" s="9"/>
      <c r="K178" s="9"/>
      <c r="L178" s="10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11"/>
      <c r="AL178" s="11"/>
      <c r="AM178" s="11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7"/>
      <c r="BU178" s="7"/>
      <c r="BV178" s="7"/>
      <c r="BW178" s="7"/>
      <c r="BX178" s="11"/>
      <c r="BY178" s="11"/>
      <c r="BZ178" s="11"/>
      <c r="CA178" s="7"/>
      <c r="CB178" s="7"/>
      <c r="CC178" s="7"/>
      <c r="CD178" s="7"/>
      <c r="CE178" s="7"/>
      <c r="CF178" s="7"/>
      <c r="CG178" s="8"/>
      <c r="CH178" s="7"/>
      <c r="CI178" s="7"/>
      <c r="CJ178" s="7"/>
      <c r="CK178" s="7"/>
      <c r="CL178" s="7"/>
      <c r="CM178" s="7"/>
      <c r="CN178" s="7"/>
      <c r="CO178" s="7"/>
      <c r="CP178" s="7"/>
      <c r="CQ178" s="8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8"/>
      <c r="DG178" s="8"/>
      <c r="DH178" s="15"/>
      <c r="DI178" s="8"/>
      <c r="DJ178" s="8"/>
      <c r="DK178" s="11"/>
      <c r="DL178" s="11"/>
      <c r="DM178" s="11"/>
    </row>
    <row r="179" ht="11.25" customHeight="1">
      <c r="A179" s="11"/>
      <c r="B179" s="6"/>
      <c r="C179" s="11"/>
      <c r="D179" s="11"/>
      <c r="E179" s="11"/>
      <c r="F179" s="9"/>
      <c r="G179" s="9"/>
      <c r="H179" s="9"/>
      <c r="I179" s="16"/>
      <c r="J179" s="9"/>
      <c r="K179" s="9"/>
      <c r="L179" s="10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1"/>
      <c r="AL179" s="11"/>
      <c r="AM179" s="11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7"/>
      <c r="BU179" s="7"/>
      <c r="BV179" s="7"/>
      <c r="BW179" s="7"/>
      <c r="BX179" s="11"/>
      <c r="BY179" s="11"/>
      <c r="BZ179" s="11"/>
      <c r="CA179" s="7"/>
      <c r="CB179" s="7"/>
      <c r="CC179" s="7"/>
      <c r="CD179" s="7"/>
      <c r="CE179" s="7"/>
      <c r="CF179" s="7"/>
      <c r="CG179" s="8"/>
      <c r="CH179" s="7"/>
      <c r="CI179" s="7"/>
      <c r="CJ179" s="7"/>
      <c r="CK179" s="7"/>
      <c r="CL179" s="7"/>
      <c r="CM179" s="7"/>
      <c r="CN179" s="7"/>
      <c r="CO179" s="7"/>
      <c r="CP179" s="7"/>
      <c r="CQ179" s="8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8"/>
      <c r="DG179" s="8"/>
      <c r="DH179" s="15"/>
      <c r="DI179" s="8"/>
      <c r="DJ179" s="8"/>
      <c r="DK179" s="11"/>
      <c r="DL179" s="11"/>
      <c r="DM179" s="11"/>
    </row>
    <row r="180" ht="11.25" customHeight="1">
      <c r="A180" s="11"/>
      <c r="B180" s="6"/>
      <c r="C180" s="11"/>
      <c r="D180" s="11"/>
      <c r="E180" s="11"/>
      <c r="F180" s="9"/>
      <c r="G180" s="9"/>
      <c r="H180" s="9"/>
      <c r="I180" s="16"/>
      <c r="J180" s="9"/>
      <c r="K180" s="9"/>
      <c r="L180" s="10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11"/>
      <c r="AL180" s="11"/>
      <c r="AM180" s="11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7"/>
      <c r="BU180" s="7"/>
      <c r="BV180" s="7"/>
      <c r="BW180" s="7"/>
      <c r="BX180" s="11"/>
      <c r="BY180" s="11"/>
      <c r="BZ180" s="11"/>
      <c r="CA180" s="7"/>
      <c r="CB180" s="7"/>
      <c r="CC180" s="7"/>
      <c r="CD180" s="7"/>
      <c r="CE180" s="7"/>
      <c r="CF180" s="7"/>
      <c r="CG180" s="8"/>
      <c r="CH180" s="7"/>
      <c r="CI180" s="7"/>
      <c r="CJ180" s="7"/>
      <c r="CK180" s="7"/>
      <c r="CL180" s="7"/>
      <c r="CM180" s="7"/>
      <c r="CN180" s="7"/>
      <c r="CO180" s="7"/>
      <c r="CP180" s="7"/>
      <c r="CQ180" s="8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8"/>
      <c r="DG180" s="8"/>
      <c r="DH180" s="15"/>
      <c r="DI180" s="8"/>
      <c r="DJ180" s="8"/>
      <c r="DK180" s="11"/>
      <c r="DL180" s="11"/>
      <c r="DM180" s="11"/>
    </row>
    <row r="181" ht="11.25" customHeight="1">
      <c r="A181" s="11"/>
      <c r="B181" s="6"/>
      <c r="C181" s="11"/>
      <c r="D181" s="11"/>
      <c r="E181" s="11"/>
      <c r="F181" s="9"/>
      <c r="G181" s="9"/>
      <c r="H181" s="9"/>
      <c r="I181" s="16"/>
      <c r="J181" s="9"/>
      <c r="K181" s="9"/>
      <c r="L181" s="10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11"/>
      <c r="AL181" s="11"/>
      <c r="AM181" s="11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7"/>
      <c r="BU181" s="7"/>
      <c r="BV181" s="7"/>
      <c r="BW181" s="7"/>
      <c r="BX181" s="11"/>
      <c r="BY181" s="11"/>
      <c r="BZ181" s="11"/>
      <c r="CA181" s="7"/>
      <c r="CB181" s="7"/>
      <c r="CC181" s="7"/>
      <c r="CD181" s="7"/>
      <c r="CE181" s="7"/>
      <c r="CF181" s="7"/>
      <c r="CG181" s="8"/>
      <c r="CH181" s="7"/>
      <c r="CI181" s="7"/>
      <c r="CJ181" s="7"/>
      <c r="CK181" s="7"/>
      <c r="CL181" s="7"/>
      <c r="CM181" s="7"/>
      <c r="CN181" s="7"/>
      <c r="CO181" s="7"/>
      <c r="CP181" s="7"/>
      <c r="CQ181" s="8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8"/>
      <c r="DG181" s="8"/>
      <c r="DH181" s="15"/>
      <c r="DI181" s="8"/>
      <c r="DJ181" s="8"/>
      <c r="DK181" s="11"/>
      <c r="DL181" s="11"/>
      <c r="DM181" s="11"/>
    </row>
    <row r="182" ht="11.25" customHeight="1">
      <c r="A182" s="11"/>
      <c r="B182" s="6"/>
      <c r="C182" s="11"/>
      <c r="D182" s="11"/>
      <c r="E182" s="11"/>
      <c r="F182" s="9"/>
      <c r="G182" s="9"/>
      <c r="H182" s="9"/>
      <c r="I182" s="16"/>
      <c r="J182" s="9"/>
      <c r="K182" s="9"/>
      <c r="L182" s="10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11"/>
      <c r="AL182" s="11"/>
      <c r="AM182" s="11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7"/>
      <c r="BU182" s="7"/>
      <c r="BV182" s="7"/>
      <c r="BW182" s="7"/>
      <c r="BX182" s="11"/>
      <c r="BY182" s="11"/>
      <c r="BZ182" s="11"/>
      <c r="CA182" s="7"/>
      <c r="CB182" s="7"/>
      <c r="CC182" s="7"/>
      <c r="CD182" s="7"/>
      <c r="CE182" s="7"/>
      <c r="CF182" s="7"/>
      <c r="CG182" s="8"/>
      <c r="CH182" s="7"/>
      <c r="CI182" s="7"/>
      <c r="CJ182" s="7"/>
      <c r="CK182" s="7"/>
      <c r="CL182" s="7"/>
      <c r="CM182" s="7"/>
      <c r="CN182" s="7"/>
      <c r="CO182" s="7"/>
      <c r="CP182" s="7"/>
      <c r="CQ182" s="8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8"/>
      <c r="DG182" s="8"/>
      <c r="DH182" s="15"/>
      <c r="DI182" s="8"/>
      <c r="DJ182" s="8"/>
      <c r="DK182" s="11"/>
      <c r="DL182" s="11"/>
      <c r="DM182" s="11"/>
    </row>
    <row r="183" ht="11.25" customHeight="1">
      <c r="A183" s="11"/>
      <c r="B183" s="6"/>
      <c r="C183" s="11"/>
      <c r="D183" s="11"/>
      <c r="E183" s="11"/>
      <c r="F183" s="9"/>
      <c r="G183" s="9"/>
      <c r="H183" s="9"/>
      <c r="I183" s="16"/>
      <c r="J183" s="9"/>
      <c r="K183" s="9"/>
      <c r="L183" s="10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11"/>
      <c r="AL183" s="11"/>
      <c r="AM183" s="11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7"/>
      <c r="BU183" s="7"/>
      <c r="BV183" s="7"/>
      <c r="BW183" s="7"/>
      <c r="BX183" s="11"/>
      <c r="BY183" s="11"/>
      <c r="BZ183" s="11"/>
      <c r="CA183" s="7"/>
      <c r="CB183" s="7"/>
      <c r="CC183" s="7"/>
      <c r="CD183" s="7"/>
      <c r="CE183" s="7"/>
      <c r="CF183" s="7"/>
      <c r="CG183" s="8"/>
      <c r="CH183" s="7"/>
      <c r="CI183" s="7"/>
      <c r="CJ183" s="7"/>
      <c r="CK183" s="7"/>
      <c r="CL183" s="7"/>
      <c r="CM183" s="7"/>
      <c r="CN183" s="7"/>
      <c r="CO183" s="7"/>
      <c r="CP183" s="7"/>
      <c r="CQ183" s="8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8"/>
      <c r="DG183" s="8"/>
      <c r="DH183" s="15"/>
      <c r="DI183" s="8"/>
      <c r="DJ183" s="8"/>
      <c r="DK183" s="11"/>
      <c r="DL183" s="11"/>
      <c r="DM183" s="11"/>
    </row>
    <row r="184" ht="11.25" customHeight="1">
      <c r="A184" s="11"/>
      <c r="B184" s="6"/>
      <c r="C184" s="11"/>
      <c r="D184" s="11"/>
      <c r="E184" s="11"/>
      <c r="F184" s="9"/>
      <c r="G184" s="9"/>
      <c r="H184" s="9"/>
      <c r="I184" s="16"/>
      <c r="J184" s="9"/>
      <c r="K184" s="9"/>
      <c r="L184" s="10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11"/>
      <c r="AL184" s="11"/>
      <c r="AM184" s="11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7"/>
      <c r="BU184" s="7"/>
      <c r="BV184" s="7"/>
      <c r="BW184" s="7"/>
      <c r="BX184" s="11"/>
      <c r="BY184" s="11"/>
      <c r="BZ184" s="11"/>
      <c r="CA184" s="7"/>
      <c r="CB184" s="7"/>
      <c r="CC184" s="7"/>
      <c r="CD184" s="7"/>
      <c r="CE184" s="7"/>
      <c r="CF184" s="7"/>
      <c r="CG184" s="8"/>
      <c r="CH184" s="7"/>
      <c r="CI184" s="7"/>
      <c r="CJ184" s="7"/>
      <c r="CK184" s="7"/>
      <c r="CL184" s="7"/>
      <c r="CM184" s="7"/>
      <c r="CN184" s="7"/>
      <c r="CO184" s="7"/>
      <c r="CP184" s="7"/>
      <c r="CQ184" s="8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8"/>
      <c r="DG184" s="8"/>
      <c r="DH184" s="15"/>
      <c r="DI184" s="8"/>
      <c r="DJ184" s="8"/>
      <c r="DK184" s="11"/>
      <c r="DL184" s="11"/>
      <c r="DM184" s="11"/>
    </row>
    <row r="185" ht="11.25" customHeight="1">
      <c r="A185" s="11"/>
      <c r="B185" s="6"/>
      <c r="C185" s="11"/>
      <c r="D185" s="11"/>
      <c r="E185" s="11"/>
      <c r="F185" s="9"/>
      <c r="G185" s="9"/>
      <c r="H185" s="9"/>
      <c r="I185" s="16"/>
      <c r="J185" s="9"/>
      <c r="K185" s="9"/>
      <c r="L185" s="10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1"/>
      <c r="AL185" s="11"/>
      <c r="AM185" s="11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7"/>
      <c r="BU185" s="7"/>
      <c r="BV185" s="7"/>
      <c r="BW185" s="7"/>
      <c r="BX185" s="11"/>
      <c r="BY185" s="11"/>
      <c r="BZ185" s="11"/>
      <c r="CA185" s="7"/>
      <c r="CB185" s="7"/>
      <c r="CC185" s="7"/>
      <c r="CD185" s="7"/>
      <c r="CE185" s="7"/>
      <c r="CF185" s="7"/>
      <c r="CG185" s="8"/>
      <c r="CH185" s="7"/>
      <c r="CI185" s="7"/>
      <c r="CJ185" s="7"/>
      <c r="CK185" s="7"/>
      <c r="CL185" s="7"/>
      <c r="CM185" s="7"/>
      <c r="CN185" s="7"/>
      <c r="CO185" s="7"/>
      <c r="CP185" s="7"/>
      <c r="CQ185" s="8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8"/>
      <c r="DG185" s="8"/>
      <c r="DH185" s="15"/>
      <c r="DI185" s="8"/>
      <c r="DJ185" s="8"/>
      <c r="DK185" s="11"/>
      <c r="DL185" s="11"/>
      <c r="DM185" s="11"/>
    </row>
    <row r="186" ht="11.25" customHeight="1">
      <c r="A186" s="11"/>
      <c r="B186" s="6"/>
      <c r="C186" s="11"/>
      <c r="D186" s="11"/>
      <c r="E186" s="11"/>
      <c r="F186" s="9"/>
      <c r="G186" s="9"/>
      <c r="H186" s="9"/>
      <c r="I186" s="16"/>
      <c r="J186" s="9"/>
      <c r="K186" s="9"/>
      <c r="L186" s="10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1"/>
      <c r="AL186" s="11"/>
      <c r="AM186" s="11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7"/>
      <c r="BU186" s="7"/>
      <c r="BV186" s="7"/>
      <c r="BW186" s="7"/>
      <c r="BX186" s="11"/>
      <c r="BY186" s="11"/>
      <c r="BZ186" s="11"/>
      <c r="CA186" s="7"/>
      <c r="CB186" s="7"/>
      <c r="CC186" s="7"/>
      <c r="CD186" s="7"/>
      <c r="CE186" s="7"/>
      <c r="CF186" s="7"/>
      <c r="CG186" s="8"/>
      <c r="CH186" s="7"/>
      <c r="CI186" s="7"/>
      <c r="CJ186" s="7"/>
      <c r="CK186" s="7"/>
      <c r="CL186" s="7"/>
      <c r="CM186" s="7"/>
      <c r="CN186" s="7"/>
      <c r="CO186" s="7"/>
      <c r="CP186" s="7"/>
      <c r="CQ186" s="8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8"/>
      <c r="DG186" s="8"/>
      <c r="DH186" s="15"/>
      <c r="DI186" s="8"/>
      <c r="DJ186" s="8"/>
      <c r="DK186" s="11"/>
      <c r="DL186" s="11"/>
      <c r="DM186" s="11"/>
    </row>
    <row r="187" ht="11.25" customHeight="1">
      <c r="A187" s="11"/>
      <c r="B187" s="6"/>
      <c r="C187" s="11"/>
      <c r="D187" s="11"/>
      <c r="E187" s="11"/>
      <c r="F187" s="9"/>
      <c r="G187" s="9"/>
      <c r="H187" s="9"/>
      <c r="I187" s="16"/>
      <c r="J187" s="9"/>
      <c r="K187" s="9"/>
      <c r="L187" s="10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11"/>
      <c r="AL187" s="11"/>
      <c r="AM187" s="11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7"/>
      <c r="BU187" s="7"/>
      <c r="BV187" s="7"/>
      <c r="BW187" s="7"/>
      <c r="BX187" s="11"/>
      <c r="BY187" s="11"/>
      <c r="BZ187" s="11"/>
      <c r="CA187" s="7"/>
      <c r="CB187" s="7"/>
      <c r="CC187" s="7"/>
      <c r="CD187" s="7"/>
      <c r="CE187" s="7"/>
      <c r="CF187" s="7"/>
      <c r="CG187" s="8"/>
      <c r="CH187" s="7"/>
      <c r="CI187" s="7"/>
      <c r="CJ187" s="7"/>
      <c r="CK187" s="7"/>
      <c r="CL187" s="7"/>
      <c r="CM187" s="7"/>
      <c r="CN187" s="7"/>
      <c r="CO187" s="7"/>
      <c r="CP187" s="7"/>
      <c r="CQ187" s="8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8"/>
      <c r="DG187" s="8"/>
      <c r="DH187" s="15"/>
      <c r="DI187" s="8"/>
      <c r="DJ187" s="8"/>
      <c r="DK187" s="11"/>
      <c r="DL187" s="11"/>
      <c r="DM187" s="11"/>
    </row>
    <row r="188" ht="11.25" customHeight="1">
      <c r="A188" s="11"/>
      <c r="B188" s="6"/>
      <c r="C188" s="11"/>
      <c r="D188" s="11"/>
      <c r="E188" s="11"/>
      <c r="F188" s="9"/>
      <c r="G188" s="9"/>
      <c r="H188" s="9"/>
      <c r="I188" s="16"/>
      <c r="J188" s="9"/>
      <c r="K188" s="9"/>
      <c r="L188" s="10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1"/>
      <c r="AL188" s="11"/>
      <c r="AM188" s="11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7"/>
      <c r="BU188" s="7"/>
      <c r="BV188" s="7"/>
      <c r="BW188" s="7"/>
      <c r="BX188" s="11"/>
      <c r="BY188" s="11"/>
      <c r="BZ188" s="11"/>
      <c r="CA188" s="7"/>
      <c r="CB188" s="7"/>
      <c r="CC188" s="7"/>
      <c r="CD188" s="7"/>
      <c r="CE188" s="7"/>
      <c r="CF188" s="7"/>
      <c r="CG188" s="8"/>
      <c r="CH188" s="7"/>
      <c r="CI188" s="7"/>
      <c r="CJ188" s="7"/>
      <c r="CK188" s="7"/>
      <c r="CL188" s="7"/>
      <c r="CM188" s="7"/>
      <c r="CN188" s="7"/>
      <c r="CO188" s="7"/>
      <c r="CP188" s="7"/>
      <c r="CQ188" s="8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8"/>
      <c r="DG188" s="8"/>
      <c r="DH188" s="15"/>
      <c r="DI188" s="8"/>
      <c r="DJ188" s="8"/>
      <c r="DK188" s="11"/>
      <c r="DL188" s="11"/>
      <c r="DM188" s="11"/>
    </row>
    <row r="189" ht="11.25" customHeight="1">
      <c r="A189" s="11"/>
      <c r="B189" s="6"/>
      <c r="C189" s="11"/>
      <c r="D189" s="11"/>
      <c r="E189" s="11"/>
      <c r="F189" s="9"/>
      <c r="G189" s="9"/>
      <c r="H189" s="9"/>
      <c r="I189" s="16"/>
      <c r="J189" s="9"/>
      <c r="K189" s="9"/>
      <c r="L189" s="10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1"/>
      <c r="AL189" s="11"/>
      <c r="AM189" s="11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7"/>
      <c r="BU189" s="7"/>
      <c r="BV189" s="7"/>
      <c r="BW189" s="7"/>
      <c r="BX189" s="11"/>
      <c r="BY189" s="11"/>
      <c r="BZ189" s="11"/>
      <c r="CA189" s="7"/>
      <c r="CB189" s="7"/>
      <c r="CC189" s="7"/>
      <c r="CD189" s="7"/>
      <c r="CE189" s="7"/>
      <c r="CF189" s="7"/>
      <c r="CG189" s="8"/>
      <c r="CH189" s="7"/>
      <c r="CI189" s="7"/>
      <c r="CJ189" s="7"/>
      <c r="CK189" s="7"/>
      <c r="CL189" s="7"/>
      <c r="CM189" s="7"/>
      <c r="CN189" s="7"/>
      <c r="CO189" s="7"/>
      <c r="CP189" s="7"/>
      <c r="CQ189" s="8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8"/>
      <c r="DG189" s="8"/>
      <c r="DH189" s="15"/>
      <c r="DI189" s="8"/>
      <c r="DJ189" s="8"/>
      <c r="DK189" s="11"/>
      <c r="DL189" s="11"/>
      <c r="DM189" s="11"/>
    </row>
    <row r="190" ht="11.25" customHeight="1">
      <c r="A190" s="11"/>
      <c r="B190" s="6"/>
      <c r="C190" s="11"/>
      <c r="D190" s="11"/>
      <c r="E190" s="11"/>
      <c r="F190" s="9"/>
      <c r="G190" s="9"/>
      <c r="H190" s="9"/>
      <c r="I190" s="16"/>
      <c r="J190" s="9"/>
      <c r="K190" s="9"/>
      <c r="L190" s="10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1"/>
      <c r="AL190" s="11"/>
      <c r="AM190" s="11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7"/>
      <c r="BU190" s="7"/>
      <c r="BV190" s="7"/>
      <c r="BW190" s="7"/>
      <c r="BX190" s="11"/>
      <c r="BY190" s="11"/>
      <c r="BZ190" s="11"/>
      <c r="CA190" s="7"/>
      <c r="CB190" s="7"/>
      <c r="CC190" s="7"/>
      <c r="CD190" s="7"/>
      <c r="CE190" s="7"/>
      <c r="CF190" s="7"/>
      <c r="CG190" s="8"/>
      <c r="CH190" s="7"/>
      <c r="CI190" s="7"/>
      <c r="CJ190" s="7"/>
      <c r="CK190" s="7"/>
      <c r="CL190" s="7"/>
      <c r="CM190" s="7"/>
      <c r="CN190" s="7"/>
      <c r="CO190" s="7"/>
      <c r="CP190" s="7"/>
      <c r="CQ190" s="8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8"/>
      <c r="DG190" s="8"/>
      <c r="DH190" s="15"/>
      <c r="DI190" s="8"/>
      <c r="DJ190" s="8"/>
      <c r="DK190" s="11"/>
      <c r="DL190" s="11"/>
      <c r="DM190" s="11"/>
    </row>
    <row r="191" ht="11.25" customHeight="1">
      <c r="A191" s="11"/>
      <c r="B191" s="6"/>
      <c r="C191" s="11"/>
      <c r="D191" s="11"/>
      <c r="E191" s="11"/>
      <c r="F191" s="9"/>
      <c r="G191" s="9"/>
      <c r="H191" s="9"/>
      <c r="I191" s="16"/>
      <c r="J191" s="9"/>
      <c r="K191" s="9"/>
      <c r="L191" s="10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1"/>
      <c r="AL191" s="11"/>
      <c r="AM191" s="11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7"/>
      <c r="BU191" s="7"/>
      <c r="BV191" s="7"/>
      <c r="BW191" s="7"/>
      <c r="BX191" s="11"/>
      <c r="BY191" s="11"/>
      <c r="BZ191" s="11"/>
      <c r="CA191" s="7"/>
      <c r="CB191" s="7"/>
      <c r="CC191" s="7"/>
      <c r="CD191" s="7"/>
      <c r="CE191" s="7"/>
      <c r="CF191" s="7"/>
      <c r="CG191" s="8"/>
      <c r="CH191" s="7"/>
      <c r="CI191" s="7"/>
      <c r="CJ191" s="7"/>
      <c r="CK191" s="7"/>
      <c r="CL191" s="7"/>
      <c r="CM191" s="7"/>
      <c r="CN191" s="7"/>
      <c r="CO191" s="7"/>
      <c r="CP191" s="7"/>
      <c r="CQ191" s="8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8"/>
      <c r="DG191" s="8"/>
      <c r="DH191" s="15"/>
      <c r="DI191" s="8"/>
      <c r="DJ191" s="8"/>
      <c r="DK191" s="11"/>
      <c r="DL191" s="11"/>
      <c r="DM191" s="11"/>
    </row>
    <row r="192" ht="11.25" customHeight="1">
      <c r="A192" s="11"/>
      <c r="B192" s="6"/>
      <c r="C192" s="11"/>
      <c r="D192" s="11"/>
      <c r="E192" s="11"/>
      <c r="F192" s="9"/>
      <c r="G192" s="9"/>
      <c r="H192" s="9"/>
      <c r="I192" s="16"/>
      <c r="J192" s="9"/>
      <c r="K192" s="9"/>
      <c r="L192" s="10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1"/>
      <c r="AL192" s="11"/>
      <c r="AM192" s="11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7"/>
      <c r="BU192" s="7"/>
      <c r="BV192" s="7"/>
      <c r="BW192" s="7"/>
      <c r="BX192" s="11"/>
      <c r="BY192" s="11"/>
      <c r="BZ192" s="11"/>
      <c r="CA192" s="7"/>
      <c r="CB192" s="7"/>
      <c r="CC192" s="7"/>
      <c r="CD192" s="7"/>
      <c r="CE192" s="7"/>
      <c r="CF192" s="7"/>
      <c r="CG192" s="8"/>
      <c r="CH192" s="7"/>
      <c r="CI192" s="7"/>
      <c r="CJ192" s="7"/>
      <c r="CK192" s="7"/>
      <c r="CL192" s="7"/>
      <c r="CM192" s="7"/>
      <c r="CN192" s="7"/>
      <c r="CO192" s="7"/>
      <c r="CP192" s="7"/>
      <c r="CQ192" s="8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8"/>
      <c r="DG192" s="8"/>
      <c r="DH192" s="15"/>
      <c r="DI192" s="8"/>
      <c r="DJ192" s="8"/>
      <c r="DK192" s="11"/>
      <c r="DL192" s="11"/>
      <c r="DM192" s="11"/>
    </row>
    <row r="193" ht="11.25" customHeight="1">
      <c r="A193" s="11"/>
      <c r="B193" s="6"/>
      <c r="C193" s="11"/>
      <c r="D193" s="11"/>
      <c r="E193" s="11"/>
      <c r="F193" s="9"/>
      <c r="G193" s="9"/>
      <c r="H193" s="9"/>
      <c r="I193" s="16"/>
      <c r="J193" s="9"/>
      <c r="K193" s="9"/>
      <c r="L193" s="10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1"/>
      <c r="AL193" s="11"/>
      <c r="AM193" s="11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7"/>
      <c r="BU193" s="7"/>
      <c r="BV193" s="7"/>
      <c r="BW193" s="7"/>
      <c r="BX193" s="11"/>
      <c r="BY193" s="11"/>
      <c r="BZ193" s="11"/>
      <c r="CA193" s="7"/>
      <c r="CB193" s="7"/>
      <c r="CC193" s="7"/>
      <c r="CD193" s="7"/>
      <c r="CE193" s="7"/>
      <c r="CF193" s="7"/>
      <c r="CG193" s="8"/>
      <c r="CH193" s="7"/>
      <c r="CI193" s="7"/>
      <c r="CJ193" s="7"/>
      <c r="CK193" s="7"/>
      <c r="CL193" s="7"/>
      <c r="CM193" s="7"/>
      <c r="CN193" s="7"/>
      <c r="CO193" s="7"/>
      <c r="CP193" s="7"/>
      <c r="CQ193" s="8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8"/>
      <c r="DG193" s="8"/>
      <c r="DH193" s="15"/>
      <c r="DI193" s="8"/>
      <c r="DJ193" s="8"/>
      <c r="DK193" s="11"/>
      <c r="DL193" s="11"/>
      <c r="DM193" s="11"/>
    </row>
    <row r="194" ht="11.25" customHeight="1">
      <c r="A194" s="11"/>
      <c r="B194" s="6"/>
      <c r="C194" s="11"/>
      <c r="D194" s="11"/>
      <c r="E194" s="11"/>
      <c r="F194" s="9"/>
      <c r="G194" s="9"/>
      <c r="H194" s="9"/>
      <c r="I194" s="16"/>
      <c r="J194" s="9"/>
      <c r="K194" s="9"/>
      <c r="L194" s="10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1"/>
      <c r="AL194" s="11"/>
      <c r="AM194" s="11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7"/>
      <c r="BU194" s="7"/>
      <c r="BV194" s="7"/>
      <c r="BW194" s="7"/>
      <c r="BX194" s="11"/>
      <c r="BY194" s="11"/>
      <c r="BZ194" s="11"/>
      <c r="CA194" s="7"/>
      <c r="CB194" s="7"/>
      <c r="CC194" s="7"/>
      <c r="CD194" s="7"/>
      <c r="CE194" s="7"/>
      <c r="CF194" s="7"/>
      <c r="CG194" s="8"/>
      <c r="CH194" s="7"/>
      <c r="CI194" s="7"/>
      <c r="CJ194" s="7"/>
      <c r="CK194" s="7"/>
      <c r="CL194" s="7"/>
      <c r="CM194" s="7"/>
      <c r="CN194" s="7"/>
      <c r="CO194" s="7"/>
      <c r="CP194" s="7"/>
      <c r="CQ194" s="8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8"/>
      <c r="DG194" s="8"/>
      <c r="DH194" s="15"/>
      <c r="DI194" s="8"/>
      <c r="DJ194" s="8"/>
      <c r="DK194" s="11"/>
      <c r="DL194" s="11"/>
      <c r="DM194" s="11"/>
    </row>
    <row r="195" ht="11.25" customHeight="1">
      <c r="A195" s="11"/>
      <c r="B195" s="6"/>
      <c r="C195" s="11"/>
      <c r="D195" s="11"/>
      <c r="E195" s="11"/>
      <c r="F195" s="9"/>
      <c r="G195" s="9"/>
      <c r="H195" s="9"/>
      <c r="I195" s="16"/>
      <c r="J195" s="9"/>
      <c r="K195" s="9"/>
      <c r="L195" s="10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1"/>
      <c r="AL195" s="11"/>
      <c r="AM195" s="11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7"/>
      <c r="BU195" s="7"/>
      <c r="BV195" s="7"/>
      <c r="BW195" s="7"/>
      <c r="BX195" s="11"/>
      <c r="BY195" s="11"/>
      <c r="BZ195" s="11"/>
      <c r="CA195" s="7"/>
      <c r="CB195" s="7"/>
      <c r="CC195" s="7"/>
      <c r="CD195" s="7"/>
      <c r="CE195" s="7"/>
      <c r="CF195" s="7"/>
      <c r="CG195" s="8"/>
      <c r="CH195" s="7"/>
      <c r="CI195" s="7"/>
      <c r="CJ195" s="7"/>
      <c r="CK195" s="7"/>
      <c r="CL195" s="7"/>
      <c r="CM195" s="7"/>
      <c r="CN195" s="7"/>
      <c r="CO195" s="7"/>
      <c r="CP195" s="7"/>
      <c r="CQ195" s="8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8"/>
      <c r="DG195" s="8"/>
      <c r="DH195" s="15"/>
      <c r="DI195" s="8"/>
      <c r="DJ195" s="8"/>
      <c r="DK195" s="11"/>
      <c r="DL195" s="11"/>
      <c r="DM195" s="11"/>
    </row>
    <row r="196" ht="11.25" customHeight="1">
      <c r="A196" s="11"/>
      <c r="B196" s="6"/>
      <c r="C196" s="11"/>
      <c r="D196" s="11"/>
      <c r="E196" s="11"/>
      <c r="F196" s="9"/>
      <c r="G196" s="9"/>
      <c r="H196" s="9"/>
      <c r="I196" s="16"/>
      <c r="J196" s="9"/>
      <c r="K196" s="9"/>
      <c r="L196" s="10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1"/>
      <c r="AL196" s="11"/>
      <c r="AM196" s="11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7"/>
      <c r="BU196" s="7"/>
      <c r="BV196" s="7"/>
      <c r="BW196" s="7"/>
      <c r="BX196" s="11"/>
      <c r="BY196" s="11"/>
      <c r="BZ196" s="11"/>
      <c r="CA196" s="7"/>
      <c r="CB196" s="7"/>
      <c r="CC196" s="7"/>
      <c r="CD196" s="7"/>
      <c r="CE196" s="7"/>
      <c r="CF196" s="7"/>
      <c r="CG196" s="8"/>
      <c r="CH196" s="7"/>
      <c r="CI196" s="7"/>
      <c r="CJ196" s="7"/>
      <c r="CK196" s="7"/>
      <c r="CL196" s="7"/>
      <c r="CM196" s="7"/>
      <c r="CN196" s="7"/>
      <c r="CO196" s="7"/>
      <c r="CP196" s="7"/>
      <c r="CQ196" s="8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8"/>
      <c r="DG196" s="8"/>
      <c r="DH196" s="15"/>
      <c r="DI196" s="8"/>
      <c r="DJ196" s="8"/>
      <c r="DK196" s="11"/>
      <c r="DL196" s="11"/>
      <c r="DM196" s="11"/>
    </row>
    <row r="197" ht="11.25" customHeight="1">
      <c r="A197" s="11"/>
      <c r="B197" s="6"/>
      <c r="C197" s="11"/>
      <c r="D197" s="11"/>
      <c r="E197" s="11"/>
      <c r="F197" s="9"/>
      <c r="G197" s="9"/>
      <c r="H197" s="9"/>
      <c r="I197" s="16"/>
      <c r="J197" s="9"/>
      <c r="K197" s="9"/>
      <c r="L197" s="10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1"/>
      <c r="AL197" s="11"/>
      <c r="AM197" s="11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7"/>
      <c r="BU197" s="7"/>
      <c r="BV197" s="7"/>
      <c r="BW197" s="7"/>
      <c r="BX197" s="11"/>
      <c r="BY197" s="11"/>
      <c r="BZ197" s="11"/>
      <c r="CA197" s="7"/>
      <c r="CB197" s="7"/>
      <c r="CC197" s="7"/>
      <c r="CD197" s="7"/>
      <c r="CE197" s="7"/>
      <c r="CF197" s="7"/>
      <c r="CG197" s="8"/>
      <c r="CH197" s="7"/>
      <c r="CI197" s="7"/>
      <c r="CJ197" s="7"/>
      <c r="CK197" s="7"/>
      <c r="CL197" s="7"/>
      <c r="CM197" s="7"/>
      <c r="CN197" s="7"/>
      <c r="CO197" s="7"/>
      <c r="CP197" s="7"/>
      <c r="CQ197" s="8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8"/>
      <c r="DG197" s="8"/>
      <c r="DH197" s="15"/>
      <c r="DI197" s="8"/>
      <c r="DJ197" s="8"/>
      <c r="DK197" s="11"/>
      <c r="DL197" s="11"/>
      <c r="DM197" s="11"/>
    </row>
    <row r="198" ht="11.25" customHeight="1">
      <c r="A198" s="11"/>
      <c r="B198" s="6"/>
      <c r="C198" s="11"/>
      <c r="D198" s="11"/>
      <c r="E198" s="11"/>
      <c r="F198" s="9"/>
      <c r="G198" s="9"/>
      <c r="H198" s="9"/>
      <c r="I198" s="16"/>
      <c r="J198" s="9"/>
      <c r="K198" s="9"/>
      <c r="L198" s="10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11"/>
      <c r="AL198" s="11"/>
      <c r="AM198" s="11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7"/>
      <c r="BU198" s="7"/>
      <c r="BV198" s="7"/>
      <c r="BW198" s="7"/>
      <c r="BX198" s="11"/>
      <c r="BY198" s="11"/>
      <c r="BZ198" s="11"/>
      <c r="CA198" s="7"/>
      <c r="CB198" s="7"/>
      <c r="CC198" s="7"/>
      <c r="CD198" s="7"/>
      <c r="CE198" s="7"/>
      <c r="CF198" s="7"/>
      <c r="CG198" s="8"/>
      <c r="CH198" s="7"/>
      <c r="CI198" s="7"/>
      <c r="CJ198" s="7"/>
      <c r="CK198" s="7"/>
      <c r="CL198" s="7"/>
      <c r="CM198" s="7"/>
      <c r="CN198" s="7"/>
      <c r="CO198" s="7"/>
      <c r="CP198" s="7"/>
      <c r="CQ198" s="8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8"/>
      <c r="DG198" s="8"/>
      <c r="DH198" s="15"/>
      <c r="DI198" s="8"/>
      <c r="DJ198" s="8"/>
      <c r="DK198" s="11"/>
      <c r="DL198" s="11"/>
      <c r="DM198" s="11"/>
    </row>
    <row r="199" ht="11.25" customHeight="1">
      <c r="A199" s="11"/>
      <c r="B199" s="6"/>
      <c r="C199" s="11"/>
      <c r="D199" s="11"/>
      <c r="E199" s="11"/>
      <c r="F199" s="9"/>
      <c r="G199" s="9"/>
      <c r="H199" s="9"/>
      <c r="I199" s="16"/>
      <c r="J199" s="9"/>
      <c r="K199" s="9"/>
      <c r="L199" s="10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1"/>
      <c r="AL199" s="11"/>
      <c r="AM199" s="11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7"/>
      <c r="BU199" s="7"/>
      <c r="BV199" s="7"/>
      <c r="BW199" s="7"/>
      <c r="BX199" s="11"/>
      <c r="BY199" s="11"/>
      <c r="BZ199" s="11"/>
      <c r="CA199" s="7"/>
      <c r="CB199" s="7"/>
      <c r="CC199" s="7"/>
      <c r="CD199" s="7"/>
      <c r="CE199" s="7"/>
      <c r="CF199" s="7"/>
      <c r="CG199" s="8"/>
      <c r="CH199" s="7"/>
      <c r="CI199" s="7"/>
      <c r="CJ199" s="7"/>
      <c r="CK199" s="7"/>
      <c r="CL199" s="7"/>
      <c r="CM199" s="7"/>
      <c r="CN199" s="7"/>
      <c r="CO199" s="7"/>
      <c r="CP199" s="7"/>
      <c r="CQ199" s="8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8"/>
      <c r="DG199" s="8"/>
      <c r="DH199" s="15"/>
      <c r="DI199" s="8"/>
      <c r="DJ199" s="8"/>
      <c r="DK199" s="11"/>
      <c r="DL199" s="11"/>
      <c r="DM199" s="11"/>
    </row>
    <row r="200" ht="11.25" customHeight="1">
      <c r="A200" s="11"/>
      <c r="B200" s="6"/>
      <c r="C200" s="11"/>
      <c r="D200" s="11"/>
      <c r="E200" s="11"/>
      <c r="F200" s="9"/>
      <c r="G200" s="9"/>
      <c r="H200" s="9"/>
      <c r="I200" s="16"/>
      <c r="J200" s="9"/>
      <c r="K200" s="9"/>
      <c r="L200" s="10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1"/>
      <c r="AL200" s="11"/>
      <c r="AM200" s="11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7"/>
      <c r="BU200" s="7"/>
      <c r="BV200" s="7"/>
      <c r="BW200" s="7"/>
      <c r="BX200" s="11"/>
      <c r="BY200" s="11"/>
      <c r="BZ200" s="11"/>
      <c r="CA200" s="7"/>
      <c r="CB200" s="7"/>
      <c r="CC200" s="7"/>
      <c r="CD200" s="7"/>
      <c r="CE200" s="7"/>
      <c r="CF200" s="7"/>
      <c r="CG200" s="8"/>
      <c r="CH200" s="7"/>
      <c r="CI200" s="7"/>
      <c r="CJ200" s="7"/>
      <c r="CK200" s="7"/>
      <c r="CL200" s="7"/>
      <c r="CM200" s="7"/>
      <c r="CN200" s="7"/>
      <c r="CO200" s="7"/>
      <c r="CP200" s="7"/>
      <c r="CQ200" s="8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8"/>
      <c r="DG200" s="8"/>
      <c r="DH200" s="15"/>
      <c r="DI200" s="8"/>
      <c r="DJ200" s="8"/>
      <c r="DK200" s="11"/>
      <c r="DL200" s="11"/>
      <c r="DM200" s="11"/>
    </row>
    <row r="201" ht="11.25" customHeight="1">
      <c r="A201" s="11"/>
      <c r="B201" s="6"/>
      <c r="C201" s="11"/>
      <c r="D201" s="11"/>
      <c r="E201" s="11"/>
      <c r="F201" s="9"/>
      <c r="G201" s="9"/>
      <c r="H201" s="9"/>
      <c r="I201" s="16"/>
      <c r="J201" s="9"/>
      <c r="K201" s="9"/>
      <c r="L201" s="10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11"/>
      <c r="AL201" s="11"/>
      <c r="AM201" s="11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7"/>
      <c r="BU201" s="7"/>
      <c r="BV201" s="7"/>
      <c r="BW201" s="7"/>
      <c r="BX201" s="11"/>
      <c r="BY201" s="11"/>
      <c r="BZ201" s="11"/>
      <c r="CA201" s="7"/>
      <c r="CB201" s="7"/>
      <c r="CC201" s="7"/>
      <c r="CD201" s="7"/>
      <c r="CE201" s="7"/>
      <c r="CF201" s="7"/>
      <c r="CG201" s="8"/>
      <c r="CH201" s="7"/>
      <c r="CI201" s="7"/>
      <c r="CJ201" s="7"/>
      <c r="CK201" s="7"/>
      <c r="CL201" s="7"/>
      <c r="CM201" s="7"/>
      <c r="CN201" s="7"/>
      <c r="CO201" s="7"/>
      <c r="CP201" s="7"/>
      <c r="CQ201" s="8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8"/>
      <c r="DG201" s="8"/>
      <c r="DH201" s="15"/>
      <c r="DI201" s="8"/>
      <c r="DJ201" s="8"/>
      <c r="DK201" s="11"/>
      <c r="DL201" s="11"/>
      <c r="DM201" s="11"/>
    </row>
    <row r="202" ht="11.25" customHeight="1">
      <c r="A202" s="11"/>
      <c r="B202" s="6"/>
      <c r="C202" s="11"/>
      <c r="D202" s="11"/>
      <c r="E202" s="11"/>
      <c r="F202" s="9"/>
      <c r="G202" s="9"/>
      <c r="H202" s="9"/>
      <c r="I202" s="16"/>
      <c r="J202" s="9"/>
      <c r="K202" s="9"/>
      <c r="L202" s="10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11"/>
      <c r="AL202" s="11"/>
      <c r="AM202" s="11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7"/>
      <c r="BU202" s="7"/>
      <c r="BV202" s="7"/>
      <c r="BW202" s="7"/>
      <c r="BX202" s="11"/>
      <c r="BY202" s="11"/>
      <c r="BZ202" s="11"/>
      <c r="CA202" s="7"/>
      <c r="CB202" s="7"/>
      <c r="CC202" s="7"/>
      <c r="CD202" s="7"/>
      <c r="CE202" s="7"/>
      <c r="CF202" s="7"/>
      <c r="CG202" s="8"/>
      <c r="CH202" s="7"/>
      <c r="CI202" s="7"/>
      <c r="CJ202" s="7"/>
      <c r="CK202" s="7"/>
      <c r="CL202" s="7"/>
      <c r="CM202" s="7"/>
      <c r="CN202" s="7"/>
      <c r="CO202" s="7"/>
      <c r="CP202" s="7"/>
      <c r="CQ202" s="8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8"/>
      <c r="DG202" s="8"/>
      <c r="DH202" s="15"/>
      <c r="DI202" s="8"/>
      <c r="DJ202" s="8"/>
      <c r="DK202" s="11"/>
      <c r="DL202" s="11"/>
      <c r="DM202" s="11"/>
    </row>
    <row r="203" ht="11.25" customHeight="1">
      <c r="A203" s="11"/>
      <c r="B203" s="6"/>
      <c r="C203" s="11"/>
      <c r="D203" s="11"/>
      <c r="E203" s="11"/>
      <c r="F203" s="9"/>
      <c r="G203" s="9"/>
      <c r="H203" s="9"/>
      <c r="I203" s="16"/>
      <c r="J203" s="9"/>
      <c r="K203" s="9"/>
      <c r="L203" s="10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1"/>
      <c r="AL203" s="11"/>
      <c r="AM203" s="11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7"/>
      <c r="BU203" s="7"/>
      <c r="BV203" s="7"/>
      <c r="BW203" s="7"/>
      <c r="BX203" s="11"/>
      <c r="BY203" s="11"/>
      <c r="BZ203" s="11"/>
      <c r="CA203" s="7"/>
      <c r="CB203" s="7"/>
      <c r="CC203" s="7"/>
      <c r="CD203" s="7"/>
      <c r="CE203" s="7"/>
      <c r="CF203" s="7"/>
      <c r="CG203" s="8"/>
      <c r="CH203" s="7"/>
      <c r="CI203" s="7"/>
      <c r="CJ203" s="7"/>
      <c r="CK203" s="7"/>
      <c r="CL203" s="7"/>
      <c r="CM203" s="7"/>
      <c r="CN203" s="7"/>
      <c r="CO203" s="7"/>
      <c r="CP203" s="7"/>
      <c r="CQ203" s="8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8"/>
      <c r="DG203" s="8"/>
      <c r="DH203" s="15"/>
      <c r="DI203" s="8"/>
      <c r="DJ203" s="8"/>
      <c r="DK203" s="11"/>
      <c r="DL203" s="11"/>
      <c r="DM203" s="11"/>
    </row>
    <row r="204" ht="11.25" customHeight="1">
      <c r="A204" s="11"/>
      <c r="B204" s="6"/>
      <c r="C204" s="11"/>
      <c r="D204" s="11"/>
      <c r="E204" s="11"/>
      <c r="F204" s="9"/>
      <c r="G204" s="9"/>
      <c r="H204" s="9"/>
      <c r="I204" s="16"/>
      <c r="J204" s="9"/>
      <c r="K204" s="9"/>
      <c r="L204" s="10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1"/>
      <c r="AL204" s="11"/>
      <c r="AM204" s="11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7"/>
      <c r="BU204" s="7"/>
      <c r="BV204" s="7"/>
      <c r="BW204" s="7"/>
      <c r="BX204" s="11"/>
      <c r="BY204" s="11"/>
      <c r="BZ204" s="11"/>
      <c r="CA204" s="7"/>
      <c r="CB204" s="7"/>
      <c r="CC204" s="7"/>
      <c r="CD204" s="7"/>
      <c r="CE204" s="7"/>
      <c r="CF204" s="7"/>
      <c r="CG204" s="8"/>
      <c r="CH204" s="7"/>
      <c r="CI204" s="7"/>
      <c r="CJ204" s="7"/>
      <c r="CK204" s="7"/>
      <c r="CL204" s="7"/>
      <c r="CM204" s="7"/>
      <c r="CN204" s="7"/>
      <c r="CO204" s="7"/>
      <c r="CP204" s="7"/>
      <c r="CQ204" s="8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8"/>
      <c r="DG204" s="8"/>
      <c r="DH204" s="15"/>
      <c r="DI204" s="8"/>
      <c r="DJ204" s="8"/>
      <c r="DK204" s="11"/>
      <c r="DL204" s="11"/>
      <c r="DM204" s="11"/>
    </row>
    <row r="205" ht="11.25" customHeight="1">
      <c r="A205" s="11"/>
      <c r="B205" s="6"/>
      <c r="C205" s="11"/>
      <c r="D205" s="11"/>
      <c r="E205" s="11"/>
      <c r="F205" s="9"/>
      <c r="G205" s="9"/>
      <c r="H205" s="9"/>
      <c r="I205" s="16"/>
      <c r="J205" s="9"/>
      <c r="K205" s="9"/>
      <c r="L205" s="10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11"/>
      <c r="AL205" s="11"/>
      <c r="AM205" s="11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7"/>
      <c r="BU205" s="7"/>
      <c r="BV205" s="7"/>
      <c r="BW205" s="7"/>
      <c r="BX205" s="11"/>
      <c r="BY205" s="11"/>
      <c r="BZ205" s="11"/>
      <c r="CA205" s="7"/>
      <c r="CB205" s="7"/>
      <c r="CC205" s="7"/>
      <c r="CD205" s="7"/>
      <c r="CE205" s="7"/>
      <c r="CF205" s="7"/>
      <c r="CG205" s="8"/>
      <c r="CH205" s="7"/>
      <c r="CI205" s="7"/>
      <c r="CJ205" s="7"/>
      <c r="CK205" s="7"/>
      <c r="CL205" s="7"/>
      <c r="CM205" s="7"/>
      <c r="CN205" s="7"/>
      <c r="CO205" s="7"/>
      <c r="CP205" s="7"/>
      <c r="CQ205" s="8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8"/>
      <c r="DG205" s="8"/>
      <c r="DH205" s="15"/>
      <c r="DI205" s="8"/>
      <c r="DJ205" s="8"/>
      <c r="DK205" s="11"/>
      <c r="DL205" s="11"/>
      <c r="DM205" s="11"/>
    </row>
    <row r="206" ht="11.25" customHeight="1">
      <c r="A206" s="11"/>
      <c r="B206" s="6"/>
      <c r="C206" s="11"/>
      <c r="D206" s="11"/>
      <c r="E206" s="11"/>
      <c r="F206" s="9"/>
      <c r="G206" s="9"/>
      <c r="H206" s="9"/>
      <c r="I206" s="16"/>
      <c r="J206" s="9"/>
      <c r="K206" s="9"/>
      <c r="L206" s="10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11"/>
      <c r="AL206" s="11"/>
      <c r="AM206" s="11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7"/>
      <c r="BU206" s="7"/>
      <c r="BV206" s="7"/>
      <c r="BW206" s="7"/>
      <c r="BX206" s="11"/>
      <c r="BY206" s="11"/>
      <c r="BZ206" s="11"/>
      <c r="CA206" s="7"/>
      <c r="CB206" s="7"/>
      <c r="CC206" s="7"/>
      <c r="CD206" s="7"/>
      <c r="CE206" s="7"/>
      <c r="CF206" s="7"/>
      <c r="CG206" s="8"/>
      <c r="CH206" s="7"/>
      <c r="CI206" s="7"/>
      <c r="CJ206" s="7"/>
      <c r="CK206" s="7"/>
      <c r="CL206" s="7"/>
      <c r="CM206" s="7"/>
      <c r="CN206" s="7"/>
      <c r="CO206" s="7"/>
      <c r="CP206" s="7"/>
      <c r="CQ206" s="8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8"/>
      <c r="DG206" s="8"/>
      <c r="DH206" s="15"/>
      <c r="DI206" s="8"/>
      <c r="DJ206" s="8"/>
      <c r="DK206" s="11"/>
      <c r="DL206" s="11"/>
      <c r="DM206" s="11"/>
    </row>
    <row r="207" ht="11.25" customHeight="1">
      <c r="A207" s="11"/>
      <c r="B207" s="6"/>
      <c r="C207" s="11"/>
      <c r="D207" s="11"/>
      <c r="E207" s="11"/>
      <c r="F207" s="9"/>
      <c r="G207" s="9"/>
      <c r="H207" s="9"/>
      <c r="I207" s="16"/>
      <c r="J207" s="9"/>
      <c r="K207" s="9"/>
      <c r="L207" s="10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11"/>
      <c r="AL207" s="11"/>
      <c r="AM207" s="11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7"/>
      <c r="BU207" s="7"/>
      <c r="BV207" s="7"/>
      <c r="BW207" s="7"/>
      <c r="BX207" s="11"/>
      <c r="BY207" s="11"/>
      <c r="BZ207" s="11"/>
      <c r="CA207" s="7"/>
      <c r="CB207" s="7"/>
      <c r="CC207" s="7"/>
      <c r="CD207" s="7"/>
      <c r="CE207" s="7"/>
      <c r="CF207" s="7"/>
      <c r="CG207" s="8"/>
      <c r="CH207" s="7"/>
      <c r="CI207" s="7"/>
      <c r="CJ207" s="7"/>
      <c r="CK207" s="7"/>
      <c r="CL207" s="7"/>
      <c r="CM207" s="7"/>
      <c r="CN207" s="7"/>
      <c r="CO207" s="7"/>
      <c r="CP207" s="7"/>
      <c r="CQ207" s="8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8"/>
      <c r="DG207" s="8"/>
      <c r="DH207" s="15"/>
      <c r="DI207" s="8"/>
      <c r="DJ207" s="8"/>
      <c r="DK207" s="11"/>
      <c r="DL207" s="11"/>
      <c r="DM207" s="11"/>
    </row>
    <row r="208" ht="11.25" customHeight="1">
      <c r="A208" s="11"/>
      <c r="B208" s="6"/>
      <c r="C208" s="11"/>
      <c r="D208" s="11"/>
      <c r="E208" s="11"/>
      <c r="F208" s="9"/>
      <c r="G208" s="9"/>
      <c r="H208" s="9"/>
      <c r="I208" s="16"/>
      <c r="J208" s="9"/>
      <c r="K208" s="9"/>
      <c r="L208" s="10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11"/>
      <c r="AL208" s="11"/>
      <c r="AM208" s="11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7"/>
      <c r="BU208" s="7"/>
      <c r="BV208" s="7"/>
      <c r="BW208" s="7"/>
      <c r="BX208" s="11"/>
      <c r="BY208" s="11"/>
      <c r="BZ208" s="11"/>
      <c r="CA208" s="7"/>
      <c r="CB208" s="7"/>
      <c r="CC208" s="7"/>
      <c r="CD208" s="7"/>
      <c r="CE208" s="7"/>
      <c r="CF208" s="7"/>
      <c r="CG208" s="8"/>
      <c r="CH208" s="7"/>
      <c r="CI208" s="7"/>
      <c r="CJ208" s="7"/>
      <c r="CK208" s="7"/>
      <c r="CL208" s="7"/>
      <c r="CM208" s="7"/>
      <c r="CN208" s="7"/>
      <c r="CO208" s="7"/>
      <c r="CP208" s="7"/>
      <c r="CQ208" s="8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8"/>
      <c r="DG208" s="8"/>
      <c r="DH208" s="15"/>
      <c r="DI208" s="8"/>
      <c r="DJ208" s="8"/>
      <c r="DK208" s="11"/>
      <c r="DL208" s="11"/>
      <c r="DM208" s="11"/>
    </row>
    <row r="209" ht="11.25" customHeight="1">
      <c r="A209" s="11"/>
      <c r="B209" s="6"/>
      <c r="C209" s="11"/>
      <c r="D209" s="11"/>
      <c r="E209" s="11"/>
      <c r="F209" s="9"/>
      <c r="G209" s="9"/>
      <c r="H209" s="9"/>
      <c r="I209" s="16"/>
      <c r="J209" s="9"/>
      <c r="K209" s="9"/>
      <c r="L209" s="10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11"/>
      <c r="AL209" s="11"/>
      <c r="AM209" s="11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7"/>
      <c r="BU209" s="7"/>
      <c r="BV209" s="7"/>
      <c r="BW209" s="7"/>
      <c r="BX209" s="11"/>
      <c r="BY209" s="11"/>
      <c r="BZ209" s="11"/>
      <c r="CA209" s="7"/>
      <c r="CB209" s="7"/>
      <c r="CC209" s="7"/>
      <c r="CD209" s="7"/>
      <c r="CE209" s="7"/>
      <c r="CF209" s="7"/>
      <c r="CG209" s="8"/>
      <c r="CH209" s="7"/>
      <c r="CI209" s="7"/>
      <c r="CJ209" s="7"/>
      <c r="CK209" s="7"/>
      <c r="CL209" s="7"/>
      <c r="CM209" s="7"/>
      <c r="CN209" s="7"/>
      <c r="CO209" s="7"/>
      <c r="CP209" s="7"/>
      <c r="CQ209" s="8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8"/>
      <c r="DG209" s="8"/>
      <c r="DH209" s="15"/>
      <c r="DI209" s="8"/>
      <c r="DJ209" s="8"/>
      <c r="DK209" s="11"/>
      <c r="DL209" s="11"/>
      <c r="DM209" s="11"/>
    </row>
    <row r="210" ht="11.25" customHeight="1">
      <c r="A210" s="11"/>
      <c r="B210" s="6"/>
      <c r="C210" s="11"/>
      <c r="D210" s="11"/>
      <c r="E210" s="11"/>
      <c r="F210" s="9"/>
      <c r="G210" s="9"/>
      <c r="H210" s="9"/>
      <c r="I210" s="16"/>
      <c r="J210" s="9"/>
      <c r="K210" s="9"/>
      <c r="L210" s="10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11"/>
      <c r="AL210" s="11"/>
      <c r="AM210" s="11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7"/>
      <c r="BU210" s="7"/>
      <c r="BV210" s="7"/>
      <c r="BW210" s="7"/>
      <c r="BX210" s="11"/>
      <c r="BY210" s="11"/>
      <c r="BZ210" s="11"/>
      <c r="CA210" s="7"/>
      <c r="CB210" s="7"/>
      <c r="CC210" s="7"/>
      <c r="CD210" s="7"/>
      <c r="CE210" s="7"/>
      <c r="CF210" s="7"/>
      <c r="CG210" s="8"/>
      <c r="CH210" s="7"/>
      <c r="CI210" s="7"/>
      <c r="CJ210" s="7"/>
      <c r="CK210" s="7"/>
      <c r="CL210" s="7"/>
      <c r="CM210" s="7"/>
      <c r="CN210" s="7"/>
      <c r="CO210" s="7"/>
      <c r="CP210" s="7"/>
      <c r="CQ210" s="8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8"/>
      <c r="DG210" s="8"/>
      <c r="DH210" s="15"/>
      <c r="DI210" s="8"/>
      <c r="DJ210" s="8"/>
      <c r="DK210" s="11"/>
      <c r="DL210" s="11"/>
      <c r="DM210" s="11"/>
    </row>
    <row r="211" ht="11.25" customHeight="1">
      <c r="A211" s="11"/>
      <c r="B211" s="6"/>
      <c r="C211" s="11"/>
      <c r="D211" s="11"/>
      <c r="E211" s="11"/>
      <c r="F211" s="9"/>
      <c r="G211" s="9"/>
      <c r="H211" s="9"/>
      <c r="I211" s="16"/>
      <c r="J211" s="9"/>
      <c r="K211" s="9"/>
      <c r="L211" s="10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11"/>
      <c r="AL211" s="11"/>
      <c r="AM211" s="11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7"/>
      <c r="BU211" s="7"/>
      <c r="BV211" s="7"/>
      <c r="BW211" s="7"/>
      <c r="BX211" s="11"/>
      <c r="BY211" s="11"/>
      <c r="BZ211" s="11"/>
      <c r="CA211" s="7"/>
      <c r="CB211" s="7"/>
      <c r="CC211" s="7"/>
      <c r="CD211" s="7"/>
      <c r="CE211" s="7"/>
      <c r="CF211" s="7"/>
      <c r="CG211" s="8"/>
      <c r="CH211" s="7"/>
      <c r="CI211" s="7"/>
      <c r="CJ211" s="7"/>
      <c r="CK211" s="7"/>
      <c r="CL211" s="7"/>
      <c r="CM211" s="7"/>
      <c r="CN211" s="7"/>
      <c r="CO211" s="7"/>
      <c r="CP211" s="7"/>
      <c r="CQ211" s="8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8"/>
      <c r="DG211" s="8"/>
      <c r="DH211" s="15"/>
      <c r="DI211" s="8"/>
      <c r="DJ211" s="8"/>
      <c r="DK211" s="11"/>
      <c r="DL211" s="11"/>
      <c r="DM211" s="11"/>
    </row>
    <row r="212" ht="11.25" customHeight="1">
      <c r="A212" s="11"/>
      <c r="B212" s="6"/>
      <c r="C212" s="11"/>
      <c r="D212" s="11"/>
      <c r="E212" s="11"/>
      <c r="F212" s="9"/>
      <c r="G212" s="9"/>
      <c r="H212" s="9"/>
      <c r="I212" s="16"/>
      <c r="J212" s="9"/>
      <c r="K212" s="9"/>
      <c r="L212" s="10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1"/>
      <c r="AL212" s="11"/>
      <c r="AM212" s="11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7"/>
      <c r="BU212" s="7"/>
      <c r="BV212" s="7"/>
      <c r="BW212" s="7"/>
      <c r="BX212" s="11"/>
      <c r="BY212" s="11"/>
      <c r="BZ212" s="11"/>
      <c r="CA212" s="7"/>
      <c r="CB212" s="7"/>
      <c r="CC212" s="7"/>
      <c r="CD212" s="7"/>
      <c r="CE212" s="7"/>
      <c r="CF212" s="7"/>
      <c r="CG212" s="8"/>
      <c r="CH212" s="7"/>
      <c r="CI212" s="7"/>
      <c r="CJ212" s="7"/>
      <c r="CK212" s="7"/>
      <c r="CL212" s="7"/>
      <c r="CM212" s="7"/>
      <c r="CN212" s="7"/>
      <c r="CO212" s="7"/>
      <c r="CP212" s="7"/>
      <c r="CQ212" s="8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8"/>
      <c r="DG212" s="8"/>
      <c r="DH212" s="15"/>
      <c r="DI212" s="8"/>
      <c r="DJ212" s="8"/>
      <c r="DK212" s="11"/>
      <c r="DL212" s="11"/>
      <c r="DM212" s="11"/>
    </row>
    <row r="213" ht="11.25" customHeight="1">
      <c r="A213" s="11"/>
      <c r="B213" s="6"/>
      <c r="C213" s="11"/>
      <c r="D213" s="11"/>
      <c r="E213" s="11"/>
      <c r="F213" s="9"/>
      <c r="G213" s="9"/>
      <c r="H213" s="9"/>
      <c r="I213" s="16"/>
      <c r="J213" s="9"/>
      <c r="K213" s="9"/>
      <c r="L213" s="10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1"/>
      <c r="AL213" s="11"/>
      <c r="AM213" s="11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7"/>
      <c r="BU213" s="7"/>
      <c r="BV213" s="7"/>
      <c r="BW213" s="7"/>
      <c r="BX213" s="11"/>
      <c r="BY213" s="11"/>
      <c r="BZ213" s="11"/>
      <c r="CA213" s="7"/>
      <c r="CB213" s="7"/>
      <c r="CC213" s="7"/>
      <c r="CD213" s="7"/>
      <c r="CE213" s="7"/>
      <c r="CF213" s="7"/>
      <c r="CG213" s="8"/>
      <c r="CH213" s="7"/>
      <c r="CI213" s="7"/>
      <c r="CJ213" s="7"/>
      <c r="CK213" s="7"/>
      <c r="CL213" s="7"/>
      <c r="CM213" s="7"/>
      <c r="CN213" s="7"/>
      <c r="CO213" s="7"/>
      <c r="CP213" s="7"/>
      <c r="CQ213" s="8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8"/>
      <c r="DG213" s="8"/>
      <c r="DH213" s="15"/>
      <c r="DI213" s="8"/>
      <c r="DJ213" s="8"/>
      <c r="DK213" s="11"/>
      <c r="DL213" s="11"/>
      <c r="DM213" s="11"/>
    </row>
    <row r="214" ht="11.25" customHeight="1">
      <c r="A214" s="11"/>
      <c r="B214" s="6"/>
      <c r="C214" s="11"/>
      <c r="D214" s="11"/>
      <c r="E214" s="11"/>
      <c r="F214" s="9"/>
      <c r="G214" s="9"/>
      <c r="H214" s="9"/>
      <c r="I214" s="16"/>
      <c r="J214" s="9"/>
      <c r="K214" s="9"/>
      <c r="L214" s="10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1"/>
      <c r="AL214" s="11"/>
      <c r="AM214" s="11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7"/>
      <c r="BU214" s="7"/>
      <c r="BV214" s="7"/>
      <c r="BW214" s="7"/>
      <c r="BX214" s="11"/>
      <c r="BY214" s="11"/>
      <c r="BZ214" s="11"/>
      <c r="CA214" s="7"/>
      <c r="CB214" s="7"/>
      <c r="CC214" s="7"/>
      <c r="CD214" s="7"/>
      <c r="CE214" s="7"/>
      <c r="CF214" s="7"/>
      <c r="CG214" s="8"/>
      <c r="CH214" s="7"/>
      <c r="CI214" s="7"/>
      <c r="CJ214" s="7"/>
      <c r="CK214" s="7"/>
      <c r="CL214" s="7"/>
      <c r="CM214" s="7"/>
      <c r="CN214" s="7"/>
      <c r="CO214" s="7"/>
      <c r="CP214" s="7"/>
      <c r="CQ214" s="8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8"/>
      <c r="DG214" s="8"/>
      <c r="DH214" s="15"/>
      <c r="DI214" s="8"/>
      <c r="DJ214" s="8"/>
      <c r="DK214" s="11"/>
      <c r="DL214" s="11"/>
      <c r="DM214" s="11"/>
    </row>
    <row r="215" ht="11.25" customHeight="1">
      <c r="A215" s="11"/>
      <c r="B215" s="6"/>
      <c r="C215" s="11"/>
      <c r="D215" s="11"/>
      <c r="E215" s="11"/>
      <c r="F215" s="9"/>
      <c r="G215" s="9"/>
      <c r="H215" s="9"/>
      <c r="I215" s="16"/>
      <c r="J215" s="9"/>
      <c r="K215" s="9"/>
      <c r="L215" s="10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11"/>
      <c r="AL215" s="11"/>
      <c r="AM215" s="11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7"/>
      <c r="BU215" s="7"/>
      <c r="BV215" s="7"/>
      <c r="BW215" s="7"/>
      <c r="BX215" s="11"/>
      <c r="BY215" s="11"/>
      <c r="BZ215" s="11"/>
      <c r="CA215" s="7"/>
      <c r="CB215" s="7"/>
      <c r="CC215" s="7"/>
      <c r="CD215" s="7"/>
      <c r="CE215" s="7"/>
      <c r="CF215" s="7"/>
      <c r="CG215" s="8"/>
      <c r="CH215" s="7"/>
      <c r="CI215" s="7"/>
      <c r="CJ215" s="7"/>
      <c r="CK215" s="7"/>
      <c r="CL215" s="7"/>
      <c r="CM215" s="7"/>
      <c r="CN215" s="7"/>
      <c r="CO215" s="7"/>
      <c r="CP215" s="7"/>
      <c r="CQ215" s="8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8"/>
      <c r="DG215" s="8"/>
      <c r="DH215" s="15"/>
      <c r="DI215" s="8"/>
      <c r="DJ215" s="8"/>
      <c r="DK215" s="11"/>
      <c r="DL215" s="11"/>
      <c r="DM215" s="11"/>
    </row>
    <row r="216" ht="11.25" customHeight="1">
      <c r="A216" s="11"/>
      <c r="B216" s="6"/>
      <c r="C216" s="11"/>
      <c r="D216" s="11"/>
      <c r="E216" s="11"/>
      <c r="F216" s="9"/>
      <c r="G216" s="9"/>
      <c r="H216" s="9"/>
      <c r="I216" s="16"/>
      <c r="J216" s="9"/>
      <c r="K216" s="9"/>
      <c r="L216" s="10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11"/>
      <c r="AL216" s="11"/>
      <c r="AM216" s="11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7"/>
      <c r="BU216" s="7"/>
      <c r="BV216" s="7"/>
      <c r="BW216" s="7"/>
      <c r="BX216" s="11"/>
      <c r="BY216" s="11"/>
      <c r="BZ216" s="11"/>
      <c r="CA216" s="7"/>
      <c r="CB216" s="7"/>
      <c r="CC216" s="7"/>
      <c r="CD216" s="7"/>
      <c r="CE216" s="7"/>
      <c r="CF216" s="7"/>
      <c r="CG216" s="8"/>
      <c r="CH216" s="7"/>
      <c r="CI216" s="7"/>
      <c r="CJ216" s="7"/>
      <c r="CK216" s="7"/>
      <c r="CL216" s="7"/>
      <c r="CM216" s="7"/>
      <c r="CN216" s="7"/>
      <c r="CO216" s="7"/>
      <c r="CP216" s="7"/>
      <c r="CQ216" s="8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8"/>
      <c r="DG216" s="8"/>
      <c r="DH216" s="15"/>
      <c r="DI216" s="8"/>
      <c r="DJ216" s="8"/>
      <c r="DK216" s="11"/>
      <c r="DL216" s="11"/>
      <c r="DM216" s="11"/>
    </row>
    <row r="217" ht="11.25" customHeight="1">
      <c r="A217" s="11"/>
      <c r="B217" s="6"/>
      <c r="C217" s="11"/>
      <c r="D217" s="11"/>
      <c r="E217" s="11"/>
      <c r="F217" s="9"/>
      <c r="G217" s="9"/>
      <c r="H217" s="9"/>
      <c r="I217" s="16"/>
      <c r="J217" s="9"/>
      <c r="K217" s="9"/>
      <c r="L217" s="10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11"/>
      <c r="AL217" s="11"/>
      <c r="AM217" s="11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7"/>
      <c r="BU217" s="7"/>
      <c r="BV217" s="7"/>
      <c r="BW217" s="7"/>
      <c r="BX217" s="11"/>
      <c r="BY217" s="11"/>
      <c r="BZ217" s="11"/>
      <c r="CA217" s="7"/>
      <c r="CB217" s="7"/>
      <c r="CC217" s="7"/>
      <c r="CD217" s="7"/>
      <c r="CE217" s="7"/>
      <c r="CF217" s="7"/>
      <c r="CG217" s="8"/>
      <c r="CH217" s="7"/>
      <c r="CI217" s="7"/>
      <c r="CJ217" s="7"/>
      <c r="CK217" s="7"/>
      <c r="CL217" s="7"/>
      <c r="CM217" s="7"/>
      <c r="CN217" s="7"/>
      <c r="CO217" s="7"/>
      <c r="CP217" s="7"/>
      <c r="CQ217" s="8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8"/>
      <c r="DG217" s="8"/>
      <c r="DH217" s="15"/>
      <c r="DI217" s="8"/>
      <c r="DJ217" s="8"/>
      <c r="DK217" s="11"/>
      <c r="DL217" s="11"/>
      <c r="DM217" s="11"/>
    </row>
    <row r="218" ht="11.25" customHeight="1">
      <c r="A218" s="11"/>
      <c r="B218" s="6"/>
      <c r="C218" s="11"/>
      <c r="D218" s="11"/>
      <c r="E218" s="11"/>
      <c r="F218" s="9"/>
      <c r="G218" s="9"/>
      <c r="H218" s="9"/>
      <c r="I218" s="16"/>
      <c r="J218" s="9"/>
      <c r="K218" s="9"/>
      <c r="L218" s="10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11"/>
      <c r="AL218" s="11"/>
      <c r="AM218" s="11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7"/>
      <c r="BU218" s="7"/>
      <c r="BV218" s="7"/>
      <c r="BW218" s="7"/>
      <c r="BX218" s="11"/>
      <c r="BY218" s="11"/>
      <c r="BZ218" s="11"/>
      <c r="CA218" s="7"/>
      <c r="CB218" s="7"/>
      <c r="CC218" s="7"/>
      <c r="CD218" s="7"/>
      <c r="CE218" s="7"/>
      <c r="CF218" s="7"/>
      <c r="CG218" s="8"/>
      <c r="CH218" s="7"/>
      <c r="CI218" s="7"/>
      <c r="CJ218" s="7"/>
      <c r="CK218" s="7"/>
      <c r="CL218" s="7"/>
      <c r="CM218" s="7"/>
      <c r="CN218" s="7"/>
      <c r="CO218" s="7"/>
      <c r="CP218" s="7"/>
      <c r="CQ218" s="8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8"/>
      <c r="DG218" s="8"/>
      <c r="DH218" s="15"/>
      <c r="DI218" s="8"/>
      <c r="DJ218" s="8"/>
      <c r="DK218" s="11"/>
      <c r="DL218" s="11"/>
      <c r="DM218" s="11"/>
    </row>
    <row r="219" ht="11.25" customHeight="1">
      <c r="A219" s="11"/>
      <c r="B219" s="6"/>
      <c r="C219" s="11"/>
      <c r="D219" s="11"/>
      <c r="E219" s="11"/>
      <c r="F219" s="9"/>
      <c r="G219" s="9"/>
      <c r="H219" s="9"/>
      <c r="I219" s="16"/>
      <c r="J219" s="9"/>
      <c r="K219" s="9"/>
      <c r="L219" s="10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11"/>
      <c r="AL219" s="11"/>
      <c r="AM219" s="11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7"/>
      <c r="BU219" s="7"/>
      <c r="BV219" s="7"/>
      <c r="BW219" s="7"/>
      <c r="BX219" s="11"/>
      <c r="BY219" s="11"/>
      <c r="BZ219" s="11"/>
      <c r="CA219" s="7"/>
      <c r="CB219" s="7"/>
      <c r="CC219" s="7"/>
      <c r="CD219" s="7"/>
      <c r="CE219" s="7"/>
      <c r="CF219" s="7"/>
      <c r="CG219" s="8"/>
      <c r="CH219" s="7"/>
      <c r="CI219" s="7"/>
      <c r="CJ219" s="7"/>
      <c r="CK219" s="7"/>
      <c r="CL219" s="7"/>
      <c r="CM219" s="7"/>
      <c r="CN219" s="7"/>
      <c r="CO219" s="7"/>
      <c r="CP219" s="7"/>
      <c r="CQ219" s="8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8"/>
      <c r="DG219" s="8"/>
      <c r="DH219" s="15"/>
      <c r="DI219" s="8"/>
      <c r="DJ219" s="8"/>
      <c r="DK219" s="11"/>
      <c r="DL219" s="11"/>
      <c r="DM219" s="11"/>
    </row>
    <row r="220" ht="11.25" customHeight="1">
      <c r="A220" s="11"/>
      <c r="B220" s="6"/>
      <c r="C220" s="11"/>
      <c r="D220" s="11"/>
      <c r="E220" s="11"/>
      <c r="F220" s="9"/>
      <c r="G220" s="9"/>
      <c r="H220" s="9"/>
      <c r="I220" s="16"/>
      <c r="J220" s="9"/>
      <c r="K220" s="9"/>
      <c r="L220" s="10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11"/>
      <c r="AL220" s="11"/>
      <c r="AM220" s="11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7"/>
      <c r="BU220" s="7"/>
      <c r="BV220" s="7"/>
      <c r="BW220" s="7"/>
      <c r="BX220" s="11"/>
      <c r="BY220" s="11"/>
      <c r="BZ220" s="11"/>
      <c r="CA220" s="7"/>
      <c r="CB220" s="7"/>
      <c r="CC220" s="7"/>
      <c r="CD220" s="7"/>
      <c r="CE220" s="7"/>
      <c r="CF220" s="7"/>
      <c r="CG220" s="8"/>
      <c r="CH220" s="7"/>
      <c r="CI220" s="7"/>
      <c r="CJ220" s="7"/>
      <c r="CK220" s="7"/>
      <c r="CL220" s="7"/>
      <c r="CM220" s="7"/>
      <c r="CN220" s="7"/>
      <c r="CO220" s="7"/>
      <c r="CP220" s="7"/>
      <c r="CQ220" s="8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8"/>
      <c r="DG220" s="8"/>
      <c r="DH220" s="15"/>
      <c r="DI220" s="8"/>
      <c r="DJ220" s="8"/>
      <c r="DK220" s="11"/>
      <c r="DL220" s="11"/>
      <c r="DM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DM$12"/>
  <mergeCells count="29">
    <mergeCell ref="O9:O10"/>
    <mergeCell ref="P9:R9"/>
    <mergeCell ref="AE9:AE10"/>
    <mergeCell ref="AF9:AF10"/>
    <mergeCell ref="E8:E10"/>
    <mergeCell ref="I8:S8"/>
    <mergeCell ref="T8:Z8"/>
    <mergeCell ref="AA8:AB8"/>
    <mergeCell ref="AC8:AG8"/>
    <mergeCell ref="AH8:AJ8"/>
    <mergeCell ref="BT8:BT9"/>
    <mergeCell ref="AG9:AG10"/>
    <mergeCell ref="BU8:BU9"/>
    <mergeCell ref="DF8:DF9"/>
    <mergeCell ref="DG8:DG9"/>
    <mergeCell ref="DH8:DH9"/>
    <mergeCell ref="DK8:DL10"/>
    <mergeCell ref="F9:H9"/>
    <mergeCell ref="I9:K9"/>
    <mergeCell ref="L9:M9"/>
    <mergeCell ref="N9:N10"/>
    <mergeCell ref="S9:S10"/>
    <mergeCell ref="T9:U9"/>
    <mergeCell ref="V9:V10"/>
    <mergeCell ref="W9:W10"/>
    <mergeCell ref="X9:X10"/>
    <mergeCell ref="Z9:Z10"/>
    <mergeCell ref="AA9:AA10"/>
    <mergeCell ref="AB9:AB10"/>
  </mergeCells>
  <conditionalFormatting sqref="AO12:BV12">
    <cfRule type="expression" dxfId="0" priority="1">
      <formula>AND(#REF!=TRUE,#REF!=1)</formula>
    </cfRule>
  </conditionalFormatting>
  <conditionalFormatting sqref="AO12:DE12">
    <cfRule type="expression" dxfId="1" priority="2">
      <formula>AND(#REF!=TRUE,#REF!=1)</formula>
    </cfRule>
  </conditionalFormatting>
  <conditionalFormatting sqref="AO12:DE12">
    <cfRule type="containsText" dxfId="2" priority="3" operator="containsText" text="/">
      <formula>NOT(ISERROR(SEARCH(("/"),(AO12))))</formula>
    </cfRule>
  </conditionalFormatting>
  <conditionalFormatting sqref="AO12:DE12">
    <cfRule type="containsText" dxfId="2" priority="4" operator="containsText" text="P">
      <formula>NOT(ISERROR(SEARCH(("P"),(AO12))))</formula>
    </cfRule>
  </conditionalFormatting>
  <conditionalFormatting sqref="AP12:BP12">
    <cfRule type="expression" dxfId="1" priority="5">
      <formula>AND(#REF!=TRUE,AP$8="CN")</formula>
    </cfRule>
  </conditionalFormatting>
  <conditionalFormatting sqref="AO12:BR12">
    <cfRule type="expression" dxfId="0" priority="6">
      <formula>AND(#REF!=TRUE,#REF!=1)</formula>
    </cfRule>
  </conditionalFormatting>
  <conditionalFormatting sqref="AP12:BR12">
    <cfRule type="expression" dxfId="1" priority="7">
      <formula>AND(#REF!=TRUE,#REF!=1)</formula>
    </cfRule>
  </conditionalFormatting>
  <conditionalFormatting sqref="AP12:BS12">
    <cfRule type="expression" dxfId="0" priority="8">
      <formula>AND(#REF!=TRUE,#REF!=1)</formula>
    </cfRule>
  </conditionalFormatting>
  <conditionalFormatting sqref="AP12:BS12">
    <cfRule type="expression" dxfId="1" priority="9">
      <formula>AND(#REF!=TRUE,#REF!=1)</formula>
    </cfRule>
  </conditionalFormatting>
  <conditionalFormatting sqref="AP12:BS12">
    <cfRule type="expression" dxfId="1" priority="10">
      <formula>AND(#REF!=TRUE,AP$8="CN")</formula>
    </cfRule>
  </conditionalFormatting>
  <conditionalFormatting sqref="BA12 BO12">
    <cfRule type="expression" dxfId="1" priority="11">
      <formula>AND(#REF!=TRUE,#REF!=1)</formula>
    </cfRule>
  </conditionalFormatting>
  <conditionalFormatting sqref="BA12 BO12">
    <cfRule type="expression" dxfId="1" priority="12">
      <formula>AND(#REF!=TRUE,BA$8="CN")</formula>
    </cfRule>
  </conditionalFormatting>
  <conditionalFormatting sqref="AO12:BV12">
    <cfRule type="expression" dxfId="1" priority="13">
      <formula>AND(#REF!=TRUE,AO$8="CN")</formula>
    </cfRule>
  </conditionalFormatting>
  <conditionalFormatting sqref="BQ12:BR12">
    <cfRule type="expression" dxfId="1" priority="14">
      <formula>AND(#REF!=TRUE,BQ$8="CN")</formula>
    </cfRule>
  </conditionalFormatting>
  <conditionalFormatting sqref="BR12">
    <cfRule type="expression" dxfId="0" priority="15">
      <formula>AND(#REF!=TRUE,#REF!=1)</formula>
    </cfRule>
  </conditionalFormatting>
  <conditionalFormatting sqref="BS12">
    <cfRule type="expression" dxfId="1" priority="16">
      <formula>AND(#REF!=TRUE,#REF!=1)</formula>
    </cfRule>
  </conditionalFormatting>
  <conditionalFormatting sqref="BS12">
    <cfRule type="expression" dxfId="1" priority="17">
      <formula>AND(#REF!=TRUE,BS$8="CN")</formula>
    </cfRule>
  </conditionalFormatting>
  <conditionalFormatting sqref="BS12">
    <cfRule type="expression" dxfId="0" priority="18">
      <formula>AND(#REF!=TRUE,#REF!=1)</formula>
    </cfRule>
  </conditionalFormatting>
  <conditionalFormatting sqref="BW12">
    <cfRule type="expression" dxfId="1" priority="19">
      <formula>AND(#REF!=TRUE,#REF!="CN")</formula>
    </cfRule>
  </conditionalFormatting>
  <conditionalFormatting sqref="BX12:DE12">
    <cfRule type="expression" dxfId="1" priority="20">
      <formula>AND(#REF!=TRUE,BX$8="CN")</formula>
    </cfRule>
  </conditionalFormatting>
  <conditionalFormatting sqref="BW12:DE12">
    <cfRule type="expression" dxfId="0" priority="21">
      <formula>AND(#REF!=TRUE,#REF!=1)</formula>
    </cfRule>
  </conditionalFormatting>
  <printOptions horizontalCentered="1"/>
  <pageMargins bottom="0.0" footer="0.0" header="0.0" left="0.0" right="0.0" top="0.0"/>
  <pageSetup orientation="landscape"/>
  <colBreaks count="3" manualBreakCount="3">
    <brk id="32" man="1"/>
    <brk id="33" man="1"/>
    <brk id="75" man="1"/>
  </colBreaks>
  <drawing r:id="rId1"/>
</worksheet>
</file>